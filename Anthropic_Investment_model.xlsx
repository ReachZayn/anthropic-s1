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Valuation Summary" sheetId="2" state="visible" r:id="rId4"/>
    <sheet name="Assumptions" sheetId="3" state="visible" r:id="rId5"/>
    <sheet name="Standard Template" sheetId="4" state="visible" r:id="rId6"/>
    <sheet name="DCF" sheetId="5" state="visible" r:id="rId7"/>
    <sheet name="Scenario" sheetId="6" state="visible" r:id="rId8"/>
    <sheet name="Relative Valuation" sheetId="7" state="visible" r:id="rId9"/>
    <sheet name="Sensitivity" sheetId="8" state="visible" r:id="rId10"/>
    <sheet name="Chart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<sst xmlns="http://schemas.openxmlformats.org/spreadsheetml/2006/main" count="566" uniqueCount="347">
  <si>
    <t xml:space="preserve">Anthropic, PBC (ANT, proposed Nasdaq)  —  Investment model, pre-IPO</t>
  </si>
  <si>
    <t xml:space="preserve">Sameer Ahmed  |  valuation date 29 Oct 2026  |  $ in millions unless noted  |  PUBLIC VERSION: comps sourced as noted</t>
  </si>
  <si>
    <t xml:space="preserve">Purpose</t>
  </si>
  <si>
    <t xml:space="preserve">A pre-IPO valuation of Anthropic from its preliminary S-1 (filed 26 Oct 2026), blending three methods: a 10-year FCFF DCF built on Aswath Damodaran's structure, a probability-weighted scenario value, and a relative value on comparable price-to-sales.</t>
  </si>
  <si>
    <t xml:space="preserve">How the toggles work</t>
  </si>
  <si>
    <t xml:space="preserve">Assumptions!C3 selects whose inputs drive the "User" blocks: Sameer, AD or User. Sameer's column is locked and always feeds the Sameer valuation, so his number does not move when others play with the User column. Valuation Summary shows Sameer, AD and User side by side against the reported offer range.</t>
  </si>
  <si>
    <t xml:space="preserve">Colour legend</t>
  </si>
  <si>
    <t xml:space="preserve">Blue = hardcoded input. Yellow = cells meant to be changed (User column, weights, probabilities). Light blue = Sameer's locked inputs. Orange = a Sameer input that differs from AD, with the reason beside it. Black = formula. Green = link to another tab.</t>
  </si>
  <si>
    <t xml:space="preserve">Tabs</t>
  </si>
  <si>
    <t xml:space="preserve">Valuation Summary · Assumptions · Standard Template · DCF · Scenario · Relative Valuation · Sensitivity · Charts · Sources</t>
  </si>
  <si>
    <t xml:space="preserve">Validation</t>
  </si>
  <si>
    <t xml:space="preserve">With AD selected, the AD block of the DCF reproduces his published $1,475,879m equity value and $447.34 per share to the dollar (DCF!C row "Value of equity", AD block). Bull/Bear blocks reproduce his post's cases within 1–4%.</t>
  </si>
  <si>
    <t xml:space="preserve">Status</t>
  </si>
  <si>
    <t xml:space="preserve">Preliminary S-1 leaves offer price, final share count, post-conversion ownership and the June 2026 commitments table blank. Cells that depend on them are marked. Update on the S-1/A.</t>
  </si>
  <si>
    <t xml:space="preserve">Disclaimer</t>
  </si>
  <si>
    <t xml:space="preserve">Personal work from public filings. Not investment advice and not the view of any employer.</t>
  </si>
  <si>
    <t xml:space="preserve">Anthropic (ANT)  —  Valuation Summary &amp; Blended Equity Value</t>
  </si>
  <si>
    <t xml:space="preserve">Cross-method blend  |  equity value in $bn  |  Sameer's column is locked; AD and User move with their inputs</t>
  </si>
  <si>
    <t xml:space="preserve">Reference pricing (reported offer range)</t>
  </si>
  <si>
    <t xml:space="preserve">Low</t>
  </si>
  <si>
    <t xml:space="preserve">$bn. Range as reported in the press and cited by AD; not in the S-1.</t>
  </si>
  <si>
    <t xml:space="preserve">Mid</t>
  </si>
  <si>
    <t xml:space="preserve">High</t>
  </si>
  <si>
    <t xml:space="preserve">Method</t>
  </si>
  <si>
    <t xml:space="preserve">Weight (Sameer)</t>
  </si>
  <si>
    <t xml:space="preserve">Weight (User)</t>
  </si>
  <si>
    <t xml:space="preserve">Sameer ($bn)</t>
  </si>
  <si>
    <t xml:space="preserve">AD ($bn)</t>
  </si>
  <si>
    <t xml:space="preserve">User ($bn)</t>
  </si>
  <si>
    <t xml:space="preserve">Sameer, weighted</t>
  </si>
  <si>
    <t xml:space="preserve">User, weighted</t>
  </si>
  <si>
    <t xml:space="preserve">Why this weight</t>
  </si>
  <si>
    <t xml:space="preserve">DCF (intrinsic)</t>
  </si>
  <si>
    <t xml:space="preserve">Primary: the only method that prices the commitments and the failure risk explicitly.</t>
  </si>
  <si>
    <t xml:space="preserve">Scenario (probability-weighted)</t>
  </si>
  <si>
    <t xml:space="preserve">Forces the bear case into the number instead of leaving it as a footnote.</t>
  </si>
  <si>
    <t xml:space="preserve">Relative (comp P/S × NTM revenue)</t>
  </si>
  <si>
    <t xml:space="preserve">Anchors to what the market pays for scaled AI revenue today.</t>
  </si>
  <si>
    <t xml:space="preserve">Effective weight sum (methods with a number)</t>
  </si>
  <si>
    <t xml:space="preserve">Blended equity value ($bn) = Σ weighted ÷ effective weight</t>
  </si>
  <si>
    <t xml:space="preserve">Weight check (Sameer / User must = 100%)</t>
  </si>
  <si>
    <t xml:space="preserve">Comparison ($bn)</t>
  </si>
  <si>
    <t xml:space="preserve">Value</t>
  </si>
  <si>
    <t xml:space="preserve">Sameer blended</t>
  </si>
  <si>
    <t xml:space="preserve">Sameer DCF</t>
  </si>
  <si>
    <t xml:space="preserve">AD DCF (published)</t>
  </si>
  <si>
    <t xml:space="preserve">User blended</t>
  </si>
  <si>
    <t xml:space="preserve">Offer low</t>
  </si>
  <si>
    <t xml:space="preserve">Offer mid</t>
  </si>
  <si>
    <t xml:space="preserve">Offer high</t>
  </si>
  <si>
    <t xml:space="preserve">Implied vs offer mid: Sameer blended</t>
  </si>
  <si>
    <t xml:space="preserve">Sameer's view</t>
  </si>
  <si>
    <t xml:space="preserve">Base-case value sits at or below the bottom of the reported range on every method. Buy below the blended value; above the mid-point of the range, sit out (AD's conclusion, reached independently here). The post-conversion share count and the June 2026 commitments table, both blank in the preliminary S-1, are the two disclosures that would move this most.</t>
  </si>
  <si>
    <t xml:space="preserve">Assumptions  —  one row per driver; sub-drivers indented; every number carries its reason</t>
  </si>
  <si>
    <t xml:space="preserve">Whose inputs drive the User blocks?</t>
  </si>
  <si>
    <t xml:space="preserve">User</t>
  </si>
  <si>
    <t xml:space="preserve">Sameer's column is locked: it always feeds the Sameer valuation regardless of this switch.</t>
  </si>
  <si>
    <t xml:space="preserve">Driver</t>
  </si>
  <si>
    <t xml:space="preserve">Sameer (locked)</t>
  </si>
  <si>
    <t xml:space="preserve">AD (published)</t>
  </si>
  <si>
    <t xml:space="preserve">User (toggle)</t>
  </si>
  <si>
    <t xml:space="preserve">Bull (AD best)</t>
  </si>
  <si>
    <t xml:space="preserve">Bear (AD worst)</t>
  </si>
  <si>
    <t xml:space="preserve">Active</t>
  </si>
  <si>
    <t xml:space="preserve">Unit</t>
  </si>
  <si>
    <t xml:space="preserve">Sameer's reason</t>
  </si>
  <si>
    <t xml:space="preserve">AD's reason</t>
  </si>
  <si>
    <t xml:space="preserve">LTM revenue to 30 Jun 2026</t>
  </si>
  <si>
    <t xml:space="preserve">$m</t>
  </si>
  <si>
    <t xml:space="preserve">FY2025 4,585 − H1 2025 1,163 + H1 2026 16,286 = 19,708, all from the S-1 statements of operations. AD's cell reads 5,485 for FY2025; that is a transposition.</t>
  </si>
  <si>
    <t xml:space="preserve">Entered as =5485-1163+16286 in his sheet.</t>
  </si>
  <si>
    <t xml:space="preserve">Revenue growth, year 1 (2027E)</t>
  </si>
  <si>
    <t xml:space="preserve">%</t>
  </si>
  <si>
    <t xml:space="preserve">Q2 2026 revenue of $11.6bn annualises to $46bn; Q2 grew 144% on Q1. 400% on the LTM base gives 2027E revenue of ~$99bn, roughly 2x the current run-rate. Consistent with the S-1's statement that 2026 revenue grew 1,368% y/y in Q2.</t>
  </si>
  <si>
    <t xml:space="preserve">"Reflects updated ARR estimates."</t>
  </si>
  <si>
    <t xml:space="preserve">Revenue CAGR, years 2–5</t>
  </si>
  <si>
    <t xml:space="preserve">Reaches ~$1tn of revenue by 2036 on AD's path. Justified by the S-1 demand data: ≥$100k customers 950 → 11,900 in a year, NRR disclosed, 79% of revenue now outside the top five. The lever to challenge first; see Sensitivity.</t>
  </si>
  <si>
    <t xml:space="preserve">Focus on the 2036 revenue target (~$1tn, "AI as industry player" market of $5tn+); the CAGR "is just an input".</t>
  </si>
  <si>
    <t xml:space="preserve">Operating margin, year 1</t>
  </si>
  <si>
    <t xml:space="preserve">Q2 2026 GAAP operating margin was 8.4% after $1.26bn SBC; H1 was (4)%. 5% is the midpoint of a year in which $321bn of leases start billing.</t>
  </si>
  <si>
    <t xml:space="preserve">"Operating margins in 3rd quarter inched toward +ve."</t>
  </si>
  <si>
    <t xml:space="preserve">  Premium-product revenue share, long run</t>
  </si>
  <si>
    <t xml:space="preserve">Sub-driver of target margin. S-1: enterprise, usage-based revenue is the substantial majority; &gt;50% of ≥$100k customers use Platform plus a first-party app.</t>
  </si>
  <si>
    <t xml:space="preserve">75% premium / 25% mass market end-mix.</t>
  </si>
  <si>
    <t xml:space="preserve">  Premium-product operating margin</t>
  </si>
  <si>
    <t xml:space="preserve">Sub-driver. Top-quartile enterprise software margin (AD's benchmark); MSFT FY2026 GAAP operating margin was 46.8% for scale.</t>
  </si>
  <si>
    <t xml:space="preserve">"Close to 40% for the top quartile" of enterprise software.</t>
  </si>
  <si>
    <t xml:space="preserve">  Mass-market operating margin</t>
  </si>
  <si>
    <t xml:space="preserve">Sub-driver. Business-services margin; consumer AI is subscription and ad-free today.</t>
  </si>
  <si>
    <t xml:space="preserve">Business services, roughly 10%.</t>
  </si>
  <si>
    <t xml:space="preserve">  Regulatory drag on margin</t>
  </si>
  <si>
    <t xml:space="preserve">Sub-driver. S-1 lists the EU AI Act, US state laws and the Bartz settlement ($1.5bn) as live costs; minor restrictions is the base. Bear uses −15%.</t>
  </si>
  <si>
    <t xml:space="preserve">"Shave my initial operating margin estimate of 32.5% down to 27.5%".</t>
  </si>
  <si>
    <t xml:space="preserve">Target operating margin, year 5 on (calculated)</t>
  </si>
  <si>
    <t xml:space="preserve">Calculated: premium share × premium margin + (1 − share) × mass margin + regulatory drag. Not an input.</t>
  </si>
  <si>
    <t xml:space="preserve">32.5% less 5% = 27.5%.</t>
  </si>
  <si>
    <t xml:space="preserve">Year margin converges</t>
  </si>
  <si>
    <t xml:space="preserve">yr</t>
  </si>
  <si>
    <t xml:space="preserve">Linear path from year 1 to target by 2031E. Compute ratio fell from 177% to 48% of revenue in five quarters; five more years to reach 27.5% is not aggressive on that trend.</t>
  </si>
  <si>
    <t xml:space="preserve">Convergence in year 5 (default).</t>
  </si>
  <si>
    <t xml:space="preserve">Sales to capital, years 1–10</t>
  </si>
  <si>
    <t xml:space="preserve">x</t>
  </si>
  <si>
    <t xml:space="preserve">C3: compute costs high near term, ease later. The S-1 shows $321.4bn of leases executed but not commenced and $265.6bn of minimum purchase commitments at 30 June; the near-term capital intensity is contracted, not optional. 2.5 rather than AD's 3.0 costs ~$90bn of value.</t>
  </si>
  <si>
    <t xml:space="preserve">C4: "compute power costs ease near term"; invest $1 per $3 of new revenue, in line with tech companies.</t>
  </si>
  <si>
    <t xml:space="preserve">Cost of capital, years 1–5</t>
  </si>
  <si>
    <t xml:space="preserve">Between the US median (9.16%) and third quartile (9.88%) at Sept 2026. Software risk plus a single-product, single-customer-type business. Second-order: ±1pt moves value ±15%.</t>
  </si>
  <si>
    <t xml:space="preserve">9.74%, "among the least critical" inputs.</t>
  </si>
  <si>
    <t xml:space="preserve">Riskfree rate = terminal growth</t>
  </si>
  <si>
    <t xml:space="preserve">10-year Treasury at the valuation date. Perpetual growth capped at the riskfree rate (AD's rule).</t>
  </si>
  <si>
    <t xml:space="preserve">4.9%.</t>
  </si>
  <si>
    <t xml:space="preserve">Terminal cost of capital</t>
  </si>
  <si>
    <t xml:space="preserve">Riskfree + mature-market ERP (4.23%). Reached by year 10.</t>
  </si>
  <si>
    <t xml:space="preserve">AD default.</t>
  </si>
  <si>
    <t xml:space="preserve">Return on capital after year 10</t>
  </si>
  <si>
    <t xml:space="preserve">Excess returns in perpetuity assume a moat. Kept at AD's 15% as base; Sensitivity shows 9.13% (no moat).</t>
  </si>
  <si>
    <t xml:space="preserve">15%: long-lasting competitive advantages.</t>
  </si>
  <si>
    <t xml:space="preserve">Marginal tax rate by year 10</t>
  </si>
  <si>
    <t xml:space="preserve">US federal + state. Effective rate is 0 now (NOLs); converges by year 10.</t>
  </si>
  <si>
    <t xml:space="preserve">25%.</t>
  </si>
  <si>
    <t xml:space="preserve">Probability of failure</t>
  </si>
  <si>
    <t xml:space="preserve">$131bn cash and $77bn of undrawn facilities against a commitment schedule that bills before revenue arrives. 10% is a funding-gap probability, not a product-failure one.</t>
  </si>
  <si>
    <t xml:space="preserve">10%, losing half the value if it happens.</t>
  </si>
  <si>
    <t xml:space="preserve">Value retained if it fails</t>
  </si>
  <si>
    <t xml:space="preserve">Model weights, data and brand have resale value; compute contracts are the liability.</t>
  </si>
  <si>
    <t xml:space="preserve">50% of fair value.</t>
  </si>
  <si>
    <t xml:space="preserve">Debt on balance sheet</t>
  </si>
  <si>
    <t xml:space="preserve">Convertible notes payable at fair value 108,566 + other noncurrent liabilities 750 (S-1 balance sheet, 30 Jun 2026). Principal is only 10,200; using fair value is conservative because the notes convert into the share count too.</t>
  </si>
  <si>
    <t xml:space="preserve">108,566 + 750.</t>
  </si>
  <si>
    <t xml:space="preserve">PV of compute and lease commitments</t>
  </si>
  <si>
    <t xml:space="preserve">AD's schedule (63,168 / 98,128 / 60,832 / 58,304 / 50,000 / 124,000 beyond) at 6.28%. The S-1's June 2026 table is blank; this is an estimate built from the $417bn subsequent-events figure and the Dec 2025 $54.6bn table. Replace on the S-1/A.</t>
  </si>
  <si>
    <t xml:space="preserve">PV of commitments "in excess of $600 billion".</t>
  </si>
  <si>
    <t xml:space="preserve">Cash and cash equivalents</t>
  </si>
  <si>
    <t xml:space="preserve">S-1 balance sheet, 30 Jun 2026. Short-term investments (19,262) excluded, as AD did; adding them is +$19bn.</t>
  </si>
  <si>
    <t xml:space="preserve">112,389.</t>
  </si>
  <si>
    <t xml:space="preserve">IPO proceeds</t>
  </si>
  <si>
    <t xml:space="preserve">Not in the S-1. Placeholder at AD's estimate; replace with the S-1/A figure.</t>
  </si>
  <si>
    <t xml:space="preserve">"Estimated based on rumored pricing."</t>
  </si>
  <si>
    <t xml:space="preserve">Non-operating assets</t>
  </si>
  <si>
    <t xml:space="preserve">Other assets, noncurrent.</t>
  </si>
  <si>
    <t xml:space="preserve">3,929.</t>
  </si>
  <si>
    <t xml:space="preserve">Shares outstanding pre-IPO (m)</t>
  </si>
  <si>
    <t xml:space="preserve">m</t>
  </si>
  <si>
    <t xml:space="preserve">AD's 1,049.6 RSUs + 2,025.0 weighted-average shares. Period-end Class A was 2,157.4m; Class N and preferred conversion are not in the S-1 yet. Kept for comparability; the S-1/A will give the real count.</t>
  </si>
  <si>
    <t xml:space="preserve">1,049.63 + 2,024.97.</t>
  </si>
  <si>
    <t xml:space="preserve">Value of options outstanding</t>
  </si>
  <si>
    <t xml:space="preserve">902.7m vested options at $2.06 (S-1 note), 8.1 years, 40% vol, dilution-adjusted Black-Scholes at $525 = $523 per option = $472,314m. AD entered 0.902 options, i.e. $472m. Equity value is unaffected; per-share value is.</t>
  </si>
  <si>
    <t xml:space="preserve">0.902 options at $2.06.</t>
  </si>
  <si>
    <t xml:space="preserve">Reference price per share</t>
  </si>
  <si>
    <t xml:space="preserve">$</t>
  </si>
  <si>
    <t xml:space="preserve">$1.75tn midpoint of the reported range ÷ AD's 3,298m post-IPO shares.</t>
  </si>
  <si>
    <t xml:space="preserve">$525 at $1.75 trillion.</t>
  </si>
  <si>
    <t xml:space="preserve">Orange = Sameer differs from AD (LTM revenue, sales-to-capital, options). Indented rows are sub-drivers of the target margin. Bull/Bear are AD's published cases and feed the Scenario tab only.</t>
  </si>
  <si>
    <t xml:space="preserve">Standard Template  —  Anthropic historicals from the S-1 and the User block forecast</t>
  </si>
  <si>
    <t xml:space="preserve">Field</t>
  </si>
  <si>
    <t xml:space="preserve">Segment</t>
  </si>
  <si>
    <t xml:space="preserve">2023A</t>
  </si>
  <si>
    <t xml:space="preserve">2024A</t>
  </si>
  <si>
    <t xml:space="preserve">2025A</t>
  </si>
  <si>
    <t xml:space="preserve">H1 2025A</t>
  </si>
  <si>
    <t xml:space="preserve">H1 2026A</t>
  </si>
  <si>
    <t xml:space="preserve">2027E</t>
  </si>
  <si>
    <t xml:space="preserve">2028E</t>
  </si>
  <si>
    <t xml:space="preserve">2029E</t>
  </si>
  <si>
    <t xml:space="preserve">2030E</t>
  </si>
  <si>
    <t xml:space="preserve">2031E</t>
  </si>
  <si>
    <t xml:space="preserve">2032E</t>
  </si>
  <si>
    <t xml:space="preserve">2033E</t>
  </si>
  <si>
    <t xml:space="preserve">2034E</t>
  </si>
  <si>
    <t xml:space="preserve">2035E</t>
  </si>
  <si>
    <t xml:space="preserve">2036E</t>
  </si>
  <si>
    <t xml:space="preserve">Revenue</t>
  </si>
  <si>
    <t xml:space="preserve">% Growth</t>
  </si>
  <si>
    <t xml:space="preserve">Compute and infrastructure</t>
  </si>
  <si>
    <t xml:space="preserve">% of revenue</t>
  </si>
  <si>
    <t xml:space="preserve">Operating income (loss)</t>
  </si>
  <si>
    <t xml:space="preserve">% Margin</t>
  </si>
  <si>
    <t xml:space="preserve">Net loss</t>
  </si>
  <si>
    <t xml:space="preserve">Stock-based compensation</t>
  </si>
  <si>
    <t xml:space="preserve">Adjusted operating income (non-GAAP, filing)</t>
  </si>
  <si>
    <t xml:space="preserve">Net cash from operating activities</t>
  </si>
  <si>
    <t xml:space="preserve">Purchases of property and equipment</t>
  </si>
  <si>
    <t xml:space="preserve">Quarterly (S-1 quarterly table), $m</t>
  </si>
  <si>
    <t xml:space="preserve">Q1 25</t>
  </si>
  <si>
    <t xml:space="preserve">Q2 25</t>
  </si>
  <si>
    <t xml:space="preserve">Q3 25</t>
  </si>
  <si>
    <t xml:space="preserve">Q4 25</t>
  </si>
  <si>
    <t xml:space="preserve">Q1 26</t>
  </si>
  <si>
    <t xml:space="preserve">Q2 26</t>
  </si>
  <si>
    <t xml:space="preserve">% q/q</t>
  </si>
  <si>
    <t xml:space="preserve">Personnel</t>
  </si>
  <si>
    <t xml:space="preserve">Bartz settlement</t>
  </si>
  <si>
    <t xml:space="preserve">Sales, marketing and partnerships</t>
  </si>
  <si>
    <t xml:space="preserve">Other operating and administrative</t>
  </si>
  <si>
    <t xml:space="preserve">% margin</t>
  </si>
  <si>
    <t xml:space="preserve">Interest income</t>
  </si>
  <si>
    <t xml:space="preserve">Change in FV of convertible notes, derivative liabilities, SAFEs</t>
  </si>
  <si>
    <t xml:space="preserve">Other income (expense), net</t>
  </si>
  <si>
    <t xml:space="preserve">Source: Anthropic PBC Form S-1 (preliminary), filed 26 Oct 2026: statements of operations, cash flows, quarterly results table and non-GAAP reconciliation. Q2 2026 SBC = H1 2,185 − Q1 924 (calculated). Forecast columns follow the User block on the DCF tab.</t>
  </si>
  <si>
    <t xml:space="preserve">DCF  —  10-year FCFF, failure-adjusted. One block per input set; Sameer's block is locked to his column.</t>
  </si>
  <si>
    <t xml:space="preserve">Sameer block (locked)</t>
  </si>
  <si>
    <t xml:space="preserve">Base</t>
  </si>
  <si>
    <t xml:space="preserve">Terminal</t>
  </si>
  <si>
    <t xml:space="preserve">t</t>
  </si>
  <si>
    <t xml:space="preserve">Revenue growth</t>
  </si>
  <si>
    <t xml:space="preserve">Operating margin</t>
  </si>
  <si>
    <t xml:space="preserve">EBIT</t>
  </si>
  <si>
    <t xml:space="preserve">Tax rate</t>
  </si>
  <si>
    <t xml:space="preserve">EBIT(1−t) after NOL</t>
  </si>
  <si>
    <t xml:space="preserve">NOL carried</t>
  </si>
  <si>
    <t xml:space="preserve">− Reinvestment = ΔRev ÷ S/C</t>
  </si>
  <si>
    <t xml:space="preserve">FCFF</t>
  </si>
  <si>
    <t xml:space="preserve">Cost of capital</t>
  </si>
  <si>
    <t xml:space="preserve">Discount factor (cum.)</t>
  </si>
  <si>
    <t xml:space="preserve">PV(FCFF)</t>
  </si>
  <si>
    <t xml:space="preserve">Terminal value = FCFF_T ÷ (CoC_T − g)</t>
  </si>
  <si>
    <t xml:space="preserve">PV of terminal value</t>
  </si>
  <si>
    <t xml:space="preserve">PV of FCFF years 1–10</t>
  </si>
  <si>
    <t xml:space="preserve">Sum of PV</t>
  </si>
  <si>
    <t xml:space="preserve">Value of operating assets = ΣPV×(1−p) + ΣPV×recovery×p</t>
  </si>
  <si>
    <t xml:space="preserve">− Debt − PV of commitments + cash + IPO proceeds + non-op assets</t>
  </si>
  <si>
    <t xml:space="preserve">Value of equity</t>
  </si>
  <si>
    <t xml:space="preserve">− Options</t>
  </si>
  <si>
    <t xml:space="preserve">Equity to common</t>
  </si>
  <si>
    <t xml:space="preserve">Value per share = (equity to common − IPO proceeds) ÷ pre-IPO shares</t>
  </si>
  <si>
    <t xml:space="preserve">Post-IPO shares (m)</t>
  </si>
  <si>
    <t xml:space="preserve">Reference price ÷ value</t>
  </si>
  <si>
    <t xml:space="preserve">2036E revenue ($bn)</t>
  </si>
  <si>
    <t xml:space="preserve">Year-10 ROIC</t>
  </si>
  <si>
    <t xml:space="preserve">AD block</t>
  </si>
  <si>
    <t xml:space="preserve">User block (follows Assumptions!C3)</t>
  </si>
  <si>
    <t xml:space="preserve">Bull block</t>
  </si>
  <si>
    <t xml:space="preserve">Bear block</t>
  </si>
  <si>
    <t xml:space="preserve">Scenario  —  probability-weighted value (your ProbTree). Bull and Bear are AD's published cases; Base is each column's own DCF.</t>
  </si>
  <si>
    <t xml:space="preserve">Case</t>
  </si>
  <si>
    <t xml:space="preserve">Probability (Sameer)</t>
  </si>
  <si>
    <t xml:space="preserve">Probability (User)</t>
  </si>
  <si>
    <t xml:space="preserve">Equity value, Sameer</t>
  </si>
  <si>
    <t xml:space="preserve">Equity value, AD</t>
  </si>
  <si>
    <t xml:space="preserve">Equity value, User</t>
  </si>
  <si>
    <t xml:space="preserve">Thesis</t>
  </si>
  <si>
    <t xml:space="preserve">Bull</t>
  </si>
  <si>
    <t xml:space="preserve">AI as industry player: $1.5tn revenue, 40% margin, cheap compute, 7.79% CoC. "Possible, but unlikely" (AD).</t>
  </si>
  <si>
    <t xml:space="preserve">The column's own DCF.</t>
  </si>
  <si>
    <t xml:space="preserve">Bear</t>
  </si>
  <si>
    <t xml:space="preserve">AI stays a tool: $200bn revenue, margin −5% after major regulation, scarce compute. Equity below zero.</t>
  </si>
  <si>
    <t xml:space="preserve">Check: probabilities sum to 100%</t>
  </si>
  <si>
    <t xml:space="preserve">Expected value = Σ probability × equity value</t>
  </si>
  <si>
    <t xml:space="preserve">Sameer and AD use Sameer's probabilities (column C). User uses column D. Weighting a case with negative equity at 25% is deliberate: the S-1 gives the bear a real mechanism (commitments bill before revenue).</t>
  </si>
  <si>
    <t xml:space="preserve">Relative Valuation  —  comparable price-to-sales (TTM) applied to Anthropic's next-twelve-month revenue</t>
  </si>
  <si>
    <t xml:space="preserve">Ticker</t>
  </si>
  <si>
    <t xml:space="preserve">Company</t>
  </si>
  <si>
    <t xml:space="preserve">Market cap ($m)</t>
  </si>
  <si>
    <t xml:space="preserve">Revenue, TTM ($m)</t>
  </si>
  <si>
    <t xml:space="preserve">P/S (TTM)</t>
  </si>
  <si>
    <t xml:space="preserve">Include? (1/0)</t>
  </si>
  <si>
    <t xml:space="preserve">Source / note</t>
  </si>
  <si>
    <t xml:space="preserve">MSFT</t>
  </si>
  <si>
    <t xml:space="preserve">Microsoft</t>
  </si>
  <si>
    <t xml:space="preserve">FY to Jun 2026 revenue; 8-K Ex.99.1 (SEC)</t>
  </si>
  <si>
    <t xml:space="preserve">GOOGL</t>
  </si>
  <si>
    <t xml:space="preserve">Alphabet</t>
  </si>
  <si>
    <t xml:space="preserve">Sum of four quarters to Jun 2026 (ycharts); Q3 2026 not in hand</t>
  </si>
  <si>
    <t xml:space="preserve">META</t>
  </si>
  <si>
    <t xml:space="preserve">Meta Platforms</t>
  </si>
  <si>
    <t xml:space="preserve">Sum of four quarters to Sep 2026 (10-Q Q3 2026; ycharts for Q4 2025)</t>
  </si>
  <si>
    <t xml:space="preserve">NVDA</t>
  </si>
  <si>
    <t xml:space="preserve">Nvidia</t>
  </si>
  <si>
    <t xml:space="preserve">FY to Jan 2026 revenue; results release</t>
  </si>
  <si>
    <t xml:space="preserve">PLTR</t>
  </si>
  <si>
    <t xml:space="preserve">Palantir</t>
  </si>
  <si>
    <t xml:space="preserve">FY2026 guidance midpoint $8,150–8,158m (Q2 2026 release); TTM not derivable</t>
  </si>
  <si>
    <t xml:space="preserve">Median P/S of included comps</t>
  </si>
  <si>
    <t xml:space="preserve">Multiple applied (override: leave blank to use the median)</t>
  </si>
  <si>
    <t xml:space="preserve">Multiple used</t>
  </si>
  <si>
    <t xml:space="preserve">Applied to Anthropic</t>
  </si>
  <si>
    <t xml:space="preserve">Sameer</t>
  </si>
  <si>
    <t xml:space="preserve">AD</t>
  </si>
  <si>
    <t xml:space="preserve">Reason</t>
  </si>
  <si>
    <t xml:space="preserve">NTM revenue = year-1 revenue from each DCF block ($m)</t>
  </si>
  <si>
    <t xml:space="preserve">Price-to-sales rather than EV/sales: it needs no net-debt data for the comps and sidesteps how to treat Anthropic's $472bn of capitalised commitments and convertibles. Applied to NTM, not TTM, revenue because Anthropic is growing 5x faster than any comp; even so, the comps' TTM multiple makes no further allowance for growth, so this method is conservative. Sameer's reason for a 30% weight: it anchors to what the market pays today for scaled AI revenue, which the DCF cannot.</t>
  </si>
  <si>
    <t xml:space="preserve">× multiple used</t>
  </si>
  <si>
    <t xml:space="preserve">Relative equity value ($m) = NTM revenue × multiple</t>
  </si>
  <si>
    <t xml:space="preserve">Public version: market caps from INDmoney US quotes at 29 Oct 2026 08:46 IST; revenues from the filings and sources named per row. Net cash not sourced, hence P/S. NOW, CRM and SNOW left out for want of sourced revenue.</t>
  </si>
  <si>
    <t xml:space="preserve">Sensitivity  —  Sameer DCF equity value ($bn). Static values from the Python replica of the DCF (Excel data tables are not portable); the DCF tab is live.</t>
  </si>
  <si>
    <t xml:space="preserve">A. 2036 revenue (CAGR yrs 2–5) × target margin</t>
  </si>
  <si>
    <t xml:space="preserve">Target margin ↓ / CAGR →</t>
  </si>
  <si>
    <t xml:space="preserve">B. Sales to capital × target margin</t>
  </si>
  <si>
    <t xml:space="preserve">Target margin ↓ / Sales to capital →</t>
  </si>
  <si>
    <t xml:space="preserve">C. Cost of capital × probability of failure</t>
  </si>
  <si>
    <t xml:space="preserve">P(fail) ↓ / Cost of capital →</t>
  </si>
  <si>
    <t xml:space="preserve">D. Convergence year × terminal ROIC</t>
  </si>
  <si>
    <t xml:space="preserve">Terminal ROIC ↓ / Convergence year →</t>
  </si>
  <si>
    <t xml:space="preserve">E. Tornado: one driver at a time, Sameer base</t>
  </si>
  <si>
    <t xml:space="preserve">Low case</t>
  </si>
  <si>
    <t xml:space="preserve">Value ($bn)</t>
  </si>
  <si>
    <t xml:space="preserve">High case</t>
  </si>
  <si>
    <t xml:space="preserve">Swing ($bn)</t>
  </si>
  <si>
    <t xml:space="preserve">Target margin</t>
  </si>
  <si>
    <t xml:space="preserve">17.5%</t>
  </si>
  <si>
    <t xml:space="preserve">32.5%</t>
  </si>
  <si>
    <t xml:space="preserve">CAGR yrs 2–5</t>
  </si>
  <si>
    <t xml:space="preserve">36.7%</t>
  </si>
  <si>
    <t xml:space="preserve">46%</t>
  </si>
  <si>
    <t xml:space="preserve">Terminal ROIC</t>
  </si>
  <si>
    <t xml:space="preserve">9.13%</t>
  </si>
  <si>
    <t xml:space="preserve">20%</t>
  </si>
  <si>
    <t xml:space="preserve">Sales to capital</t>
  </si>
  <si>
    <t xml:space="preserve">1.5x</t>
  </si>
  <si>
    <t xml:space="preserve">4.0x</t>
  </si>
  <si>
    <t xml:space="preserve">10.74%</t>
  </si>
  <si>
    <t xml:space="preserve">8.74%</t>
  </si>
  <si>
    <t xml:space="preserve">PV of commitments</t>
  </si>
  <si>
    <t xml:space="preserve">+$100bn</t>
  </si>
  <si>
    <t xml:space="preserve">−$100bn</t>
  </si>
  <si>
    <t xml:space="preserve">P(failure)</t>
  </si>
  <si>
    <t xml:space="preserve">0%</t>
  </si>
  <si>
    <t xml:space="preserve">Sameer base DCF equity: $1,365bn.</t>
  </si>
  <si>
    <t xml:space="preserve">Charts</t>
  </si>
  <si>
    <t xml:space="preserve">Year</t>
  </si>
  <si>
    <t xml:space="preserve">Sameer revenue ($bn)</t>
  </si>
  <si>
    <t xml:space="preserve">AD revenue ($bn)</t>
  </si>
  <si>
    <t xml:space="preserve">User revenue ($bn)</t>
  </si>
  <si>
    <t xml:space="preserve">Sameer margin</t>
  </si>
  <si>
    <t xml:space="preserve">User margin</t>
  </si>
  <si>
    <t xml:space="preserve">DCF</t>
  </si>
  <si>
    <t xml:space="preserve">Scenario</t>
  </si>
  <si>
    <t xml:space="preserve">Relative</t>
  </si>
  <si>
    <t xml:space="preserve">Blended</t>
  </si>
  <si>
    <t xml:space="preserve">AD "Blended" shows his DCF only.</t>
  </si>
  <si>
    <t xml:space="preserve">Sources</t>
  </si>
  <si>
    <t xml:space="preserve">Anthropic PBC, Form S-1 (preliminary), filed 26 Oct 2026, accession 0001628280-26-067168</t>
  </si>
  <si>
    <t xml:space="preserve">https://www.sec.gov/Archives/edgar/data/2130357/000162828026067168/anthropicpbc-sx1.htm</t>
  </si>
  <si>
    <t xml:space="preserve">A. Damodaran, "The Anthropic Prospectus Arrives: My (but not the) IPO valuation!", 28 Oct 2026</t>
  </si>
  <si>
    <t xml:space="preserve">https://aswathdamodaran.blogspot.com/2026/10/the-anthropic-prospectus-arrives-ipo.html</t>
  </si>
  <si>
    <t xml:space="preserve">A. Damodaran, AnthropicIPO.xlsx (valuation spreadsheet, 26 Oct 2026), used for the AD column and validated to the dollar</t>
  </si>
  <si>
    <t xml:space="preserve">A. Damodaran, "Stock Prices, Earnings and Cashflows: The AI Effect", Oct 2026</t>
  </si>
  <si>
    <t xml:space="preserve">https://aswathdamodaran.blogspot.com/2026/10/stock-prices-earnings-and-cashflows-ai.html</t>
  </si>
  <si>
    <t xml:space="preserve">Microsoft 8-K Ex.99.1 FY2026 results (revenue 331,839)</t>
  </si>
  <si>
    <t xml:space="preserve">https://www.sec.gov/Archives/edgar/data/0000789019/000119312526323632/msft-ex99_1.htm</t>
  </si>
  <si>
    <t xml:space="preserve">Meta 10-Q Q3 2026 (quarterly revenue)</t>
  </si>
  <si>
    <t xml:space="preserve">https://www.sec.gov/Archives/edgar/data/0001326801/000162828026066773/meta-20260930.htm</t>
  </si>
  <si>
    <t xml:space="preserve">NVIDIA fiscal 2026 results (revenue 215,938)</t>
  </si>
  <si>
    <t xml:space="preserve">https://www.storagenewsletter.com/2026/03/04/nvidia-fiscal-4q26-and-fy26-financial-results/</t>
  </si>
  <si>
    <t xml:space="preserve">Palantir Q2 2026 release (FY2026 guidance 8,150–8,158)</t>
  </si>
  <si>
    <t xml:space="preserve">https://www.sec.gov/Archives/edgar/data/0001321655/000132165526000039/a2026q2ex991pressrelease.htm</t>
  </si>
  <si>
    <t xml:space="preserve">Alphabet and Meta quarterly revenue series (ycharts); market caps from INDmoney US quotes, 29 Oct 2026</t>
  </si>
  <si>
    <t xml:space="preserve">https://ycharts.com/companies/GOOGL/revenues</t>
  </si>
</sst>
</file>

<file path=xl/styles.xml><?xml version="1.0" encoding="utf-8"?>
<styleSheet xmlns="http://schemas.openxmlformats.org/spreadsheetml/2006/main">
  <numFmts count="12">
    <numFmt numFmtId="164" formatCode="General"/>
    <numFmt numFmtId="165" formatCode="\$#,##0"/>
    <numFmt numFmtId="166" formatCode="0.0%;\(0.0%\);\-"/>
    <numFmt numFmtId="167" formatCode="\$#,##0;&quot;($&quot;#,##0\)"/>
    <numFmt numFmtId="168" formatCode="\$#,##0;&quot;($&quot;#,##0\);\-"/>
    <numFmt numFmtId="169" formatCode="0.00%;\(0.00%\);\-"/>
    <numFmt numFmtId="170" formatCode="0"/>
    <numFmt numFmtId="171" formatCode="0.0\x"/>
    <numFmt numFmtId="172" formatCode="#,##0.0;\(#,##0.0\);\-"/>
    <numFmt numFmtId="173" formatCode="\$#,##0.00;&quot;($&quot;#,##0.00\);\-"/>
    <numFmt numFmtId="174" formatCode="0.0000"/>
    <numFmt numFmtId="175" formatCode="\$#,##0.0"/>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8"/>
      <color rgb="FF555555"/>
      <name val="Arial"/>
      <family val="0"/>
      <charset val="1"/>
    </font>
    <font>
      <b val="true"/>
      <sz val="9"/>
      <name val="Arial"/>
      <family val="0"/>
      <charset val="1"/>
    </font>
    <font>
      <sz val="9"/>
      <name val="Arial"/>
      <family val="0"/>
      <charset val="1"/>
    </font>
    <font>
      <sz val="9"/>
      <color rgb="FF0000FF"/>
      <name val="Arial"/>
      <family val="0"/>
      <charset val="1"/>
    </font>
    <font>
      <b val="true"/>
      <sz val="9"/>
      <color rgb="FFFFFFFF"/>
      <name val="Arial"/>
      <family val="0"/>
      <charset val="1"/>
    </font>
    <font>
      <sz val="9"/>
      <color rgb="FF008000"/>
      <name val="Arial"/>
      <family val="0"/>
      <charset val="1"/>
    </font>
    <font>
      <b val="true"/>
      <sz val="12"/>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name val="Arial"/>
      <family val="0"/>
      <charset val="1"/>
    </font>
    <font>
      <b val="true"/>
      <sz val="11"/>
      <name val="Arial"/>
      <family val="0"/>
      <charset val="1"/>
    </font>
    <font>
      <u val="single"/>
      <sz val="9"/>
      <color rgb="FF0000FF"/>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DEBF7"/>
        <bgColor rgb="FFEEEEEE"/>
      </patternFill>
    </fill>
    <fill>
      <patternFill patternType="solid">
        <fgColor rgb="FFFCE4D6"/>
        <bgColor rgb="FFEEEEEE"/>
      </patternFill>
    </fill>
    <fill>
      <patternFill patternType="solid">
        <fgColor rgb="FFEEEEEE"/>
        <bgColor rgb="FFDDEB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8" fontId="8" fillId="5"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0" fillId="6" borderId="0" xfId="0" applyFont="false" applyBorder="false" applyAlignment="false" applyProtection="false">
      <alignment horizontal="general" vertical="bottom" textRotation="0" wrapText="false" indent="0" shrinkToFit="false"/>
      <protection locked="true" hidden="false"/>
    </xf>
    <xf numFmtId="169" fontId="8" fillId="4"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9" fontId="0" fillId="6"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8" fillId="4"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71" fontId="8" fillId="5"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1" fontId="0" fillId="6" borderId="0" xfId="0" applyFont="false" applyBorder="false" applyAlignment="false" applyProtection="false">
      <alignment horizontal="general" vertical="bottom" textRotation="0" wrapText="false" indent="0" shrinkToFit="false"/>
      <protection locked="true" hidden="false"/>
    </xf>
    <xf numFmtId="168" fontId="8" fillId="4" borderId="0" xfId="0" applyFont="true" applyBorder="false" applyAlignment="false" applyProtection="false">
      <alignment horizontal="general" vertical="bottom" textRotation="0" wrapText="false" indent="0" shrinkToFit="false"/>
      <protection locked="true" hidden="false"/>
    </xf>
    <xf numFmtId="172" fontId="8" fillId="4"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72" fontId="0" fillId="6" borderId="0" xfId="0" applyFont="false" applyBorder="false" applyAlignment="false" applyProtection="false">
      <alignment horizontal="general" vertical="bottom" textRotation="0" wrapText="false" indent="0" shrinkToFit="false"/>
      <protection locked="true" hidden="false"/>
    </xf>
    <xf numFmtId="173" fontId="8" fillId="4"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6" fillId="6" borderId="0" xfId="0" applyFont="true" applyBorder="false" applyAlignment="false" applyProtection="false">
      <alignment horizontal="general" vertical="bottom" textRotation="0" wrapText="false" indent="0" shrinkToFit="false"/>
      <protection locked="true" hidden="false"/>
    </xf>
    <xf numFmtId="166" fontId="6" fillId="6"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71" fontId="6" fillId="6" borderId="0" xfId="0" applyFont="true" applyBorder="false" applyAlignment="false" applyProtection="false">
      <alignment horizontal="general" vertical="bottom" textRotation="0" wrapText="false" indent="0" shrinkToFit="false"/>
      <protection locked="true" hidden="false"/>
    </xf>
    <xf numFmtId="170" fontId="6" fillId="6"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left" vertical="center" textRotation="0" wrapText="tru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EEEEEE"/>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F81BD"/>
      <rgbColor rgb="FF33CCCC"/>
      <rgbColor rgb="FF98B855"/>
      <rgbColor rgb="FFFFCC00"/>
      <rgbColor rgb="FFFF9900"/>
      <rgbColor rgb="FFFF6600"/>
      <rgbColor rgb="FF4A7EBB"/>
      <rgbColor rgb="FF9BBB59"/>
      <rgbColor rgb="FF1F3864"/>
      <rgbColor rgb="FF339966"/>
      <rgbColor rgb="FF003300"/>
      <rgbColor rgb="FF333300"/>
      <rgbColor rgb="FF993300"/>
      <rgbColor rgb="FFC0504D"/>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Equity value vs reported offer range ($bn)</a:t>
            </a:r>
          </a:p>
        </c:rich>
      </c:tx>
      <c:overlay val="0"/>
      <c:spPr>
        <a:noFill/>
        <a:ln w="0">
          <a:noFill/>
        </a:ln>
      </c:spPr>
    </c:title>
    <c:autoTitleDeleted val="0"/>
    <c:plotArea>
      <c:barChart>
        <c:barDir val="col"/>
        <c:grouping val="clustered"/>
        <c:varyColors val="0"/>
        <c:ser>
          <c:idx val="0"/>
          <c:order val="0"/>
          <c:tx>
            <c:strRef>
              <c:f>'Valuation Summary'!C19</c:f>
              <c:strCache>
                <c:ptCount val="1"/>
                <c:pt idx="0">
                  <c:v>Value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 Summary'!$B$20:$B$26</c:f>
              <c:strCache>
                <c:ptCount val="7"/>
                <c:pt idx="0">
                  <c:v>Sameer blended</c:v>
                </c:pt>
                <c:pt idx="1">
                  <c:v>Sameer DCF</c:v>
                </c:pt>
                <c:pt idx="2">
                  <c:v>AD DCF (published)</c:v>
                </c:pt>
                <c:pt idx="3">
                  <c:v>User blended</c:v>
                </c:pt>
                <c:pt idx="4">
                  <c:v>Offer low</c:v>
                </c:pt>
                <c:pt idx="5">
                  <c:v>Offer mid</c:v>
                </c:pt>
                <c:pt idx="6">
                  <c:v>Offer high</c:v>
                </c:pt>
              </c:strCache>
            </c:strRef>
          </c:cat>
          <c:val>
            <c:numRef>
              <c:f>'Valuation Summary'!$C$20:$C$26</c:f>
              <c:numCache>
                <c:formatCode>\$#,##0;"($"#,##0\)</c:formatCode>
                <c:ptCount val="7"/>
                <c:pt idx="0">
                  <c:v>1378.67505651004</c:v>
                </c:pt>
                <c:pt idx="1">
                  <c:v>1364.74795491056</c:v>
                </c:pt>
                <c:pt idx="2">
                  <c:v>1475.87835181291</c:v>
                </c:pt>
                <c:pt idx="3">
                  <c:v>1378.67505651004</c:v>
                </c:pt>
                <c:pt idx="4">
                  <c:v>1500</c:v>
                </c:pt>
                <c:pt idx="5">
                  <c:v>1750</c:v>
                </c:pt>
                <c:pt idx="6">
                  <c:v>2000</c:v>
                </c:pt>
              </c:numCache>
            </c:numRef>
          </c:val>
        </c:ser>
        <c:gapWidth val="150"/>
        <c:overlap val="0"/>
        <c:axId val="9126226"/>
        <c:axId val="90256715"/>
      </c:barChart>
      <c:catAx>
        <c:axId val="91262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256715"/>
        <c:crosses val="autoZero"/>
        <c:auto val="1"/>
        <c:lblAlgn val="ctr"/>
        <c:lblOffset val="100"/>
        <c:noMultiLvlLbl val="0"/>
      </c:catAx>
      <c:valAx>
        <c:axId val="9025671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$bn</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62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path ($bn)</a:t>
            </a:r>
          </a:p>
        </c:rich>
      </c:tx>
      <c:overlay val="0"/>
      <c:spPr>
        <a:noFill/>
        <a:ln w="0">
          <a:noFill/>
        </a:ln>
      </c:spPr>
    </c:title>
    <c:autoTitleDeleted val="0"/>
    <c:plotArea>
      <c:lineChart>
        <c:grouping val="standard"/>
        <c:varyColors val="0"/>
        <c:ser>
          <c:idx val="0"/>
          <c:order val="0"/>
          <c:tx>
            <c:strRef>
              <c:f>Charts!C5</c:f>
              <c:strCache>
                <c:ptCount val="1"/>
                <c:pt idx="0">
                  <c:v>Sameer revenue ($bn)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Charts!$B$6:$B$15</c:f>
              <c:strCache>
                <c:ptCount val="10"/>
                <c:pt idx="0">
                  <c:v>2027E</c:v>
                </c:pt>
                <c:pt idx="1">
                  <c:v>2028E</c:v>
                </c:pt>
                <c:pt idx="2">
                  <c:v>2029E</c:v>
                </c:pt>
                <c:pt idx="3">
                  <c:v>2030E</c:v>
                </c:pt>
                <c:pt idx="4">
                  <c:v>2031E</c:v>
                </c:pt>
                <c:pt idx="5">
                  <c:v>2032E</c:v>
                </c:pt>
                <c:pt idx="6">
                  <c:v>2033E</c:v>
                </c:pt>
                <c:pt idx="7">
                  <c:v>2034E</c:v>
                </c:pt>
                <c:pt idx="8">
                  <c:v>2035E</c:v>
                </c:pt>
                <c:pt idx="9">
                  <c:v>2036E</c:v>
                </c:pt>
              </c:strCache>
            </c:strRef>
          </c:cat>
          <c:val>
            <c:numRef>
              <c:f>Charts!$C$6:$C$15</c:f>
              <c:numCache>
                <c:formatCode>\$#,##0</c:formatCode>
                <c:ptCount val="10"/>
                <c:pt idx="0">
                  <c:v>98.54</c:v>
                </c:pt>
                <c:pt idx="1">
                  <c:v>139.9268</c:v>
                </c:pt>
                <c:pt idx="2">
                  <c:v>198.696056</c:v>
                </c:pt>
                <c:pt idx="3">
                  <c:v>282.14839952</c:v>
                </c:pt>
                <c:pt idx="4">
                  <c:v>400.6507273184</c:v>
                </c:pt>
                <c:pt idx="5">
                  <c:v>539.195748825103</c:v>
                </c:pt>
                <c:pt idx="6">
                  <c:v>685.641314206001</c:v>
                </c:pt>
                <c:pt idx="7">
                  <c:v>820.986909630265</c:v>
                </c:pt>
                <c:pt idx="8">
                  <c:v>922.132496896714</c:v>
                </c:pt>
                <c:pt idx="9">
                  <c:v>967.316989244653</c:v>
                </c:pt>
              </c:numCache>
            </c:numRef>
          </c:val>
          <c:smooth val="1"/>
        </c:ser>
        <c:ser>
          <c:idx val="1"/>
          <c:order val="1"/>
          <c:tx>
            <c:strRef>
              <c:f>Charts!D5</c:f>
              <c:strCache>
                <c:ptCount val="1"/>
                <c:pt idx="0">
                  <c:v>AD revenue ($bn)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Charts!$B$6:$B$15</c:f>
              <c:strCache>
                <c:ptCount val="10"/>
                <c:pt idx="0">
                  <c:v>2027E</c:v>
                </c:pt>
                <c:pt idx="1">
                  <c:v>2028E</c:v>
                </c:pt>
                <c:pt idx="2">
                  <c:v>2029E</c:v>
                </c:pt>
                <c:pt idx="3">
                  <c:v>2030E</c:v>
                </c:pt>
                <c:pt idx="4">
                  <c:v>2031E</c:v>
                </c:pt>
                <c:pt idx="5">
                  <c:v>2032E</c:v>
                </c:pt>
                <c:pt idx="6">
                  <c:v>2033E</c:v>
                </c:pt>
                <c:pt idx="7">
                  <c:v>2034E</c:v>
                </c:pt>
                <c:pt idx="8">
                  <c:v>2035E</c:v>
                </c:pt>
                <c:pt idx="9">
                  <c:v>2036E</c:v>
                </c:pt>
              </c:strCache>
            </c:strRef>
          </c:cat>
          <c:val>
            <c:numRef>
              <c:f>Charts!$D$6:$D$15</c:f>
              <c:numCache>
                <c:formatCode>\$#,##0</c:formatCode>
                <c:ptCount val="10"/>
                <c:pt idx="0">
                  <c:v>103.04</c:v>
                </c:pt>
                <c:pt idx="1">
                  <c:v>146.3168</c:v>
                </c:pt>
                <c:pt idx="2">
                  <c:v>207.769856</c:v>
                </c:pt>
                <c:pt idx="3">
                  <c:v>295.03319552</c:v>
                </c:pt>
                <c:pt idx="4">
                  <c:v>418.9471376384</c:v>
                </c:pt>
                <c:pt idx="5">
                  <c:v>563.819057833759</c:v>
                </c:pt>
                <c:pt idx="6">
                  <c:v>716.952313941407</c:v>
                </c:pt>
                <c:pt idx="7">
                  <c:v>858.478700713441</c:v>
                </c:pt>
                <c:pt idx="8">
                  <c:v>964.243276641337</c:v>
                </c:pt>
                <c:pt idx="9">
                  <c:v>1011.49119719676</c:v>
                </c:pt>
              </c:numCache>
            </c:numRef>
          </c:val>
          <c:smooth val="1"/>
        </c:ser>
        <c:ser>
          <c:idx val="2"/>
          <c:order val="2"/>
          <c:tx>
            <c:strRef>
              <c:f>Charts!E5</c:f>
              <c:strCache>
                <c:ptCount val="1"/>
                <c:pt idx="0">
                  <c:v>User revenue ($bn)</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Charts!$B$6:$B$15</c:f>
              <c:strCache>
                <c:ptCount val="10"/>
                <c:pt idx="0">
                  <c:v>2027E</c:v>
                </c:pt>
                <c:pt idx="1">
                  <c:v>2028E</c:v>
                </c:pt>
                <c:pt idx="2">
                  <c:v>2029E</c:v>
                </c:pt>
                <c:pt idx="3">
                  <c:v>2030E</c:v>
                </c:pt>
                <c:pt idx="4">
                  <c:v>2031E</c:v>
                </c:pt>
                <c:pt idx="5">
                  <c:v>2032E</c:v>
                </c:pt>
                <c:pt idx="6">
                  <c:v>2033E</c:v>
                </c:pt>
                <c:pt idx="7">
                  <c:v>2034E</c:v>
                </c:pt>
                <c:pt idx="8">
                  <c:v>2035E</c:v>
                </c:pt>
                <c:pt idx="9">
                  <c:v>2036E</c:v>
                </c:pt>
              </c:strCache>
            </c:strRef>
          </c:cat>
          <c:val>
            <c:numRef>
              <c:f>Charts!$E$6:$E$15</c:f>
              <c:numCache>
                <c:formatCode>\$#,##0</c:formatCode>
                <c:ptCount val="10"/>
                <c:pt idx="0">
                  <c:v>98.54</c:v>
                </c:pt>
                <c:pt idx="1">
                  <c:v>139.9268</c:v>
                </c:pt>
                <c:pt idx="2">
                  <c:v>198.696056</c:v>
                </c:pt>
                <c:pt idx="3">
                  <c:v>282.14839952</c:v>
                </c:pt>
                <c:pt idx="4">
                  <c:v>400.6507273184</c:v>
                </c:pt>
                <c:pt idx="5">
                  <c:v>539.195748825103</c:v>
                </c:pt>
                <c:pt idx="6">
                  <c:v>685.641314206001</c:v>
                </c:pt>
                <c:pt idx="7">
                  <c:v>820.986909630265</c:v>
                </c:pt>
                <c:pt idx="8">
                  <c:v>922.132496896714</c:v>
                </c:pt>
                <c:pt idx="9">
                  <c:v>967.316989244653</c:v>
                </c:pt>
              </c:numCache>
            </c:numRef>
          </c:val>
          <c:smooth val="1"/>
        </c:ser>
        <c:hiLowLines>
          <c:spPr>
            <a:ln w="0">
              <a:noFill/>
            </a:ln>
          </c:spPr>
        </c:hiLowLines>
        <c:marker val="0"/>
        <c:axId val="56910056"/>
        <c:axId val="77796660"/>
      </c:lineChart>
      <c:catAx>
        <c:axId val="569100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96660"/>
        <c:crosses val="autoZero"/>
        <c:auto val="1"/>
        <c:lblAlgn val="ctr"/>
        <c:lblOffset val="100"/>
        <c:noMultiLvlLbl val="0"/>
      </c:catAx>
      <c:valAx>
        <c:axId val="7779666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9100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margin path</a:t>
            </a:r>
          </a:p>
        </c:rich>
      </c:tx>
      <c:overlay val="0"/>
      <c:spPr>
        <a:noFill/>
        <a:ln w="0">
          <a:noFill/>
        </a:ln>
      </c:spPr>
    </c:title>
    <c:autoTitleDeleted val="0"/>
    <c:plotArea>
      <c:lineChart>
        <c:grouping val="standard"/>
        <c:varyColors val="0"/>
        <c:ser>
          <c:idx val="0"/>
          <c:order val="0"/>
          <c:tx>
            <c:strRef>
              <c:f>Charts!F5</c:f>
              <c:strCache>
                <c:ptCount val="1"/>
                <c:pt idx="0">
                  <c:v>Sameer margin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Charts!$B$6:$B$15</c:f>
              <c:strCache>
                <c:ptCount val="10"/>
                <c:pt idx="0">
                  <c:v>2027E</c:v>
                </c:pt>
                <c:pt idx="1">
                  <c:v>2028E</c:v>
                </c:pt>
                <c:pt idx="2">
                  <c:v>2029E</c:v>
                </c:pt>
                <c:pt idx="3">
                  <c:v>2030E</c:v>
                </c:pt>
                <c:pt idx="4">
                  <c:v>2031E</c:v>
                </c:pt>
                <c:pt idx="5">
                  <c:v>2032E</c:v>
                </c:pt>
                <c:pt idx="6">
                  <c:v>2033E</c:v>
                </c:pt>
                <c:pt idx="7">
                  <c:v>2034E</c:v>
                </c:pt>
                <c:pt idx="8">
                  <c:v>2035E</c:v>
                </c:pt>
                <c:pt idx="9">
                  <c:v>2036E</c:v>
                </c:pt>
              </c:strCache>
            </c:strRef>
          </c:cat>
          <c:val>
            <c:numRef>
              <c:f>Charts!$F$6:$F$15</c:f>
              <c:numCache>
                <c:formatCode>0.0%;\(0.0%\);\-</c:formatCode>
                <c:ptCount val="10"/>
                <c:pt idx="0">
                  <c:v>0.05</c:v>
                </c:pt>
                <c:pt idx="1">
                  <c:v>0.14</c:v>
                </c:pt>
                <c:pt idx="2">
                  <c:v>0.185</c:v>
                </c:pt>
                <c:pt idx="3">
                  <c:v>0.23</c:v>
                </c:pt>
                <c:pt idx="4">
                  <c:v>0.275</c:v>
                </c:pt>
                <c:pt idx="5">
                  <c:v>0.275</c:v>
                </c:pt>
                <c:pt idx="6">
                  <c:v>0.275</c:v>
                </c:pt>
                <c:pt idx="7">
                  <c:v>0.275</c:v>
                </c:pt>
                <c:pt idx="8">
                  <c:v>0.275</c:v>
                </c:pt>
                <c:pt idx="9">
                  <c:v>0.275</c:v>
                </c:pt>
              </c:numCache>
            </c:numRef>
          </c:val>
          <c:smooth val="1"/>
        </c:ser>
        <c:ser>
          <c:idx val="1"/>
          <c:order val="1"/>
          <c:tx>
            <c:strRef>
              <c:f>Charts!G5</c:f>
              <c:strCache>
                <c:ptCount val="1"/>
                <c:pt idx="0">
                  <c:v>User margin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Charts!$B$6:$B$15</c:f>
              <c:strCache>
                <c:ptCount val="10"/>
                <c:pt idx="0">
                  <c:v>2027E</c:v>
                </c:pt>
                <c:pt idx="1">
                  <c:v>2028E</c:v>
                </c:pt>
                <c:pt idx="2">
                  <c:v>2029E</c:v>
                </c:pt>
                <c:pt idx="3">
                  <c:v>2030E</c:v>
                </c:pt>
                <c:pt idx="4">
                  <c:v>2031E</c:v>
                </c:pt>
                <c:pt idx="5">
                  <c:v>2032E</c:v>
                </c:pt>
                <c:pt idx="6">
                  <c:v>2033E</c:v>
                </c:pt>
                <c:pt idx="7">
                  <c:v>2034E</c:v>
                </c:pt>
                <c:pt idx="8">
                  <c:v>2035E</c:v>
                </c:pt>
                <c:pt idx="9">
                  <c:v>2036E</c:v>
                </c:pt>
              </c:strCache>
            </c:strRef>
          </c:cat>
          <c:val>
            <c:numRef>
              <c:f>Charts!$G$6:$G$15</c:f>
              <c:numCache>
                <c:formatCode>0.0%;\(0.0%\);\-</c:formatCode>
                <c:ptCount val="10"/>
                <c:pt idx="0">
                  <c:v>0.05</c:v>
                </c:pt>
                <c:pt idx="1">
                  <c:v>0.14</c:v>
                </c:pt>
                <c:pt idx="2">
                  <c:v>0.185</c:v>
                </c:pt>
                <c:pt idx="3">
                  <c:v>0.23</c:v>
                </c:pt>
                <c:pt idx="4">
                  <c:v>0.275</c:v>
                </c:pt>
                <c:pt idx="5">
                  <c:v>0.275</c:v>
                </c:pt>
                <c:pt idx="6">
                  <c:v>0.275</c:v>
                </c:pt>
                <c:pt idx="7">
                  <c:v>0.275</c:v>
                </c:pt>
                <c:pt idx="8">
                  <c:v>0.275</c:v>
                </c:pt>
                <c:pt idx="9">
                  <c:v>0.275</c:v>
                </c:pt>
              </c:numCache>
            </c:numRef>
          </c:val>
          <c:smooth val="1"/>
        </c:ser>
        <c:hiLowLines>
          <c:spPr>
            <a:ln w="0">
              <a:noFill/>
            </a:ln>
          </c:spPr>
        </c:hiLowLines>
        <c:marker val="0"/>
        <c:axId val="80221277"/>
        <c:axId val="89791458"/>
      </c:lineChart>
      <c:catAx>
        <c:axId val="802212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791458"/>
        <c:crosses val="autoZero"/>
        <c:auto val="1"/>
        <c:lblAlgn val="ctr"/>
        <c:lblOffset val="100"/>
        <c:noMultiLvlLbl val="0"/>
      </c:catAx>
      <c:valAx>
        <c:axId val="8979145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2212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Method comparison ($bn)</a:t>
            </a:r>
          </a:p>
        </c:rich>
      </c:tx>
      <c:overlay val="0"/>
      <c:spPr>
        <a:noFill/>
        <a:ln w="0">
          <a:noFill/>
        </a:ln>
      </c:spPr>
    </c:title>
    <c:autoTitleDeleted val="0"/>
    <c:plotArea>
      <c:barChart>
        <c:barDir val="col"/>
        <c:grouping val="clustered"/>
        <c:varyColors val="0"/>
        <c:ser>
          <c:idx val="0"/>
          <c:order val="0"/>
          <c:tx>
            <c:strRef>
              <c:f>Charts!C18</c:f>
              <c:strCache>
                <c:ptCount val="1"/>
                <c:pt idx="0">
                  <c:v>Sameer ($bn)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Charts!$B$19:$B$22</c:f>
              <c:strCache>
                <c:ptCount val="4"/>
                <c:pt idx="0">
                  <c:v>DCF</c:v>
                </c:pt>
                <c:pt idx="1">
                  <c:v>Scenario</c:v>
                </c:pt>
                <c:pt idx="2">
                  <c:v>Relative</c:v>
                </c:pt>
                <c:pt idx="3">
                  <c:v>Blended</c:v>
                </c:pt>
              </c:strCache>
            </c:strRef>
          </c:cat>
          <c:val>
            <c:numRef>
              <c:f>Charts!$C$19:$C$22</c:f>
              <c:numCache>
                <c:formatCode>\$#,##0;"($"#,##0\)</c:formatCode>
                <c:ptCount val="4"/>
                <c:pt idx="0">
                  <c:v>1364.74795491056</c:v>
                </c:pt>
                <c:pt idx="1">
                  <c:v>1604.18446521165</c:v>
                </c:pt>
                <c:pt idx="2">
                  <c:v>1171.73511660775</c:v>
                </c:pt>
                <c:pt idx="3">
                  <c:v>1378.67505651004</c:v>
                </c:pt>
              </c:numCache>
            </c:numRef>
          </c:val>
        </c:ser>
        <c:ser>
          <c:idx val="1"/>
          <c:order val="1"/>
          <c:tx>
            <c:strRef>
              <c:f>Charts!D18</c:f>
              <c:strCache>
                <c:ptCount val="1"/>
                <c:pt idx="0">
                  <c:v>AD ($bn)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Charts!$B$19:$B$22</c:f>
              <c:strCache>
                <c:ptCount val="4"/>
                <c:pt idx="0">
                  <c:v>DCF</c:v>
                </c:pt>
                <c:pt idx="1">
                  <c:v>Scenario</c:v>
                </c:pt>
                <c:pt idx="2">
                  <c:v>Relative</c:v>
                </c:pt>
                <c:pt idx="3">
                  <c:v>Blended</c:v>
                </c:pt>
              </c:strCache>
            </c:strRef>
          </c:cat>
          <c:val>
            <c:numRef>
              <c:f>Charts!$D$19:$D$22</c:f>
              <c:numCache>
                <c:formatCode>\$#,##0;"($"#,##0\)</c:formatCode>
                <c:ptCount val="4"/>
                <c:pt idx="0">
                  <c:v>1475.87835181291</c:v>
                </c:pt>
                <c:pt idx="1">
                  <c:v>1659.74966366283</c:v>
                </c:pt>
                <c:pt idx="2">
                  <c:v>1225.24443287257</c:v>
                </c:pt>
                <c:pt idx="3">
                  <c:v>1475.87835181291</c:v>
                </c:pt>
              </c:numCache>
            </c:numRef>
          </c:val>
        </c:ser>
        <c:ser>
          <c:idx val="2"/>
          <c:order val="2"/>
          <c:tx>
            <c:strRef>
              <c:f>Charts!E18</c:f>
              <c:strCache>
                <c:ptCount val="1"/>
                <c:pt idx="0">
                  <c:v>User ($bn)</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Charts!$B$19:$B$22</c:f>
              <c:strCache>
                <c:ptCount val="4"/>
                <c:pt idx="0">
                  <c:v>DCF</c:v>
                </c:pt>
                <c:pt idx="1">
                  <c:v>Scenario</c:v>
                </c:pt>
                <c:pt idx="2">
                  <c:v>Relative</c:v>
                </c:pt>
                <c:pt idx="3">
                  <c:v>Blended</c:v>
                </c:pt>
              </c:strCache>
            </c:strRef>
          </c:cat>
          <c:val>
            <c:numRef>
              <c:f>Charts!$E$19:$E$22</c:f>
              <c:numCache>
                <c:formatCode>\$#,##0;"($"#,##0\)</c:formatCode>
                <c:ptCount val="4"/>
                <c:pt idx="0">
                  <c:v>1364.74795491056</c:v>
                </c:pt>
                <c:pt idx="1">
                  <c:v>1604.18446521165</c:v>
                </c:pt>
                <c:pt idx="2">
                  <c:v>1171.73511660775</c:v>
                </c:pt>
                <c:pt idx="3">
                  <c:v>1378.67505651004</c:v>
                </c:pt>
              </c:numCache>
            </c:numRef>
          </c:val>
        </c:ser>
        <c:gapWidth val="150"/>
        <c:overlap val="0"/>
        <c:axId val="98579718"/>
        <c:axId val="84895707"/>
      </c:barChart>
      <c:catAx>
        <c:axId val="985797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895707"/>
        <c:crosses val="autoZero"/>
        <c:auto val="1"/>
        <c:lblAlgn val="ctr"/>
        <c:lblOffset val="100"/>
        <c:noMultiLvlLbl val="0"/>
      </c:catAx>
      <c:valAx>
        <c:axId val="8489570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5797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160920</xdr:rowOff>
    </xdr:from>
    <xdr:to>
      <xdr:col>22</xdr:col>
      <xdr:colOff>473400</xdr:colOff>
      <xdr:row>20</xdr:row>
      <xdr:rowOff>162000</xdr:rowOff>
    </xdr:to>
    <xdr:graphicFrame>
      <xdr:nvGraphicFramePr>
        <xdr:cNvPr id="0" name="Chart 1"/>
        <xdr:cNvGraphicFramePr/>
      </xdr:nvGraphicFramePr>
      <xdr:xfrm>
        <a:off x="16025040" y="76212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160920</xdr:rowOff>
    </xdr:from>
    <xdr:to>
      <xdr:col>18</xdr:col>
      <xdr:colOff>364320</xdr:colOff>
      <xdr:row>20</xdr:row>
      <xdr:rowOff>162000</xdr:rowOff>
    </xdr:to>
    <xdr:graphicFrame>
      <xdr:nvGraphicFramePr>
        <xdr:cNvPr id="1" name="Chart 1"/>
        <xdr:cNvGraphicFramePr/>
      </xdr:nvGraphicFramePr>
      <xdr:xfrm>
        <a:off x="7989480" y="76212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22</xdr:row>
      <xdr:rowOff>160560</xdr:rowOff>
    </xdr:from>
    <xdr:to>
      <xdr:col>18</xdr:col>
      <xdr:colOff>364320</xdr:colOff>
      <xdr:row>39</xdr:row>
      <xdr:rowOff>162000</xdr:rowOff>
    </xdr:to>
    <xdr:graphicFrame>
      <xdr:nvGraphicFramePr>
        <xdr:cNvPr id="2" name="Chart 2"/>
        <xdr:cNvGraphicFramePr/>
      </xdr:nvGraphicFramePr>
      <xdr:xfrm>
        <a:off x="7989480" y="438156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23</xdr:row>
      <xdr:rowOff>160560</xdr:rowOff>
    </xdr:from>
    <xdr:to>
      <xdr:col>6</xdr:col>
      <xdr:colOff>699840</xdr:colOff>
      <xdr:row>40</xdr:row>
      <xdr:rowOff>161640</xdr:rowOff>
    </xdr:to>
    <xdr:graphicFrame>
      <xdr:nvGraphicFramePr>
        <xdr:cNvPr id="3" name="Chart 3"/>
        <xdr:cNvGraphicFramePr/>
      </xdr:nvGraphicFramePr>
      <xdr:xfrm>
        <a:off x="611640" y="457200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hyperlink" Target="https://www.sec.gov/Archives/edgar/data/2130357/000162828026067168/anthropicpbc-sx1.htm" TargetMode="External"/><Relationship Id="rId2" Type="http://schemas.openxmlformats.org/officeDocument/2006/relationships/hyperlink" Target="https://aswathdamodaran.blogspot.com/2026/10/the-anthropic-prospectus-arrives-ipo.html" TargetMode="External"/><Relationship Id="rId3" Type="http://schemas.openxmlformats.org/officeDocument/2006/relationships/hyperlink" Target="https://aswathdamodaran.blogspot.com/2026/10/stock-prices-earnings-and-cashflows-ai.html" TargetMode="External"/><Relationship Id="rId4" Type="http://schemas.openxmlformats.org/officeDocument/2006/relationships/hyperlink" Target="https://www.sec.gov/Archives/edgar/data/0000789019/000119312526323632/msft-ex99_1.htm" TargetMode="External"/><Relationship Id="rId5" Type="http://schemas.openxmlformats.org/officeDocument/2006/relationships/hyperlink" Target="https://www.sec.gov/Archives/edgar/data/0001326801/000162828026066773/meta-20260930.htm" TargetMode="External"/><Relationship Id="rId6" Type="http://schemas.openxmlformats.org/officeDocument/2006/relationships/hyperlink" Target="https://www.storagenewsletter.com/2026/03/04/nvidia-fiscal-4q26-and-fy26-financial-results/" TargetMode="External"/><Relationship Id="rId7" Type="http://schemas.openxmlformats.org/officeDocument/2006/relationships/hyperlink" Target="https://www.sec.gov/Archives/edgar/data/0001321655/000132165526000039/a2026q2ex991pressrelease.htm" TargetMode="External"/><Relationship Id="rId8" Type="http://schemas.openxmlformats.org/officeDocument/2006/relationships/hyperlink" Target="https://ycharts.com/companies/GOOGL/revenu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10"/>
  </cols>
  <sheetData>
    <row r="2" customFormat="false" ht="17.35" hidden="false" customHeight="false" outlineLevel="0" collapsed="false">
      <c r="B2" s="1" t="s">
        <v>0</v>
      </c>
      <c r="C2" s="1"/>
      <c r="D2" s="1"/>
      <c r="E2" s="1"/>
      <c r="F2" s="1"/>
      <c r="G2" s="1"/>
      <c r="H2" s="1"/>
      <c r="I2" s="1"/>
    </row>
    <row r="3" customFormat="false" ht="15" hidden="false" customHeight="false" outlineLevel="0" collapsed="false">
      <c r="B3" s="2" t="s">
        <v>1</v>
      </c>
    </row>
    <row r="5" customFormat="false" ht="15" hidden="false" customHeight="false" outlineLevel="0" collapsed="false">
      <c r="B5" s="3" t="s">
        <v>2</v>
      </c>
    </row>
    <row r="6" customFormat="false" ht="22.35" hidden="false" customHeight="false" outlineLevel="0" collapsed="false">
      <c r="B6" s="4" t="s">
        <v>3</v>
      </c>
    </row>
    <row r="7" customFormat="false" ht="15" hidden="false" customHeight="false" outlineLevel="0" collapsed="false">
      <c r="B7" s="4"/>
    </row>
    <row r="8" customFormat="false" ht="15" hidden="false" customHeight="false" outlineLevel="0" collapsed="false">
      <c r="B8" s="3" t="s">
        <v>4</v>
      </c>
    </row>
    <row r="9" customFormat="false" ht="32.8" hidden="false" customHeight="false" outlineLevel="0" collapsed="false">
      <c r="B9" s="4" t="s">
        <v>5</v>
      </c>
    </row>
    <row r="10" customFormat="false" ht="15" hidden="false" customHeight="false" outlineLevel="0" collapsed="false">
      <c r="B10" s="4"/>
    </row>
    <row r="11" customFormat="false" ht="15" hidden="false" customHeight="false" outlineLevel="0" collapsed="false">
      <c r="B11" s="3" t="s">
        <v>6</v>
      </c>
    </row>
    <row r="12" customFormat="false" ht="22.35" hidden="false" customHeight="false" outlineLevel="0" collapsed="false">
      <c r="B12" s="4" t="s">
        <v>7</v>
      </c>
    </row>
    <row r="13" customFormat="false" ht="15" hidden="false" customHeight="false" outlineLevel="0" collapsed="false">
      <c r="B13" s="4"/>
    </row>
    <row r="14" customFormat="false" ht="15" hidden="false" customHeight="false" outlineLevel="0" collapsed="false">
      <c r="B14" s="3" t="s">
        <v>8</v>
      </c>
    </row>
    <row r="15" customFormat="false" ht="15" hidden="false" customHeight="false" outlineLevel="0" collapsed="false">
      <c r="B15" s="4" t="s">
        <v>9</v>
      </c>
    </row>
    <row r="16" customFormat="false" ht="15" hidden="false" customHeight="false" outlineLevel="0" collapsed="false">
      <c r="B16" s="4"/>
    </row>
    <row r="17" customFormat="false" ht="15" hidden="false" customHeight="false" outlineLevel="0" collapsed="false">
      <c r="B17" s="3" t="s">
        <v>10</v>
      </c>
    </row>
    <row r="18" customFormat="false" ht="22.35" hidden="false" customHeight="false" outlineLevel="0" collapsed="false">
      <c r="B18" s="4" t="s">
        <v>11</v>
      </c>
    </row>
    <row r="19" customFormat="false" ht="15" hidden="false" customHeight="false" outlineLevel="0" collapsed="false">
      <c r="B19" s="4"/>
    </row>
    <row r="20" customFormat="false" ht="15" hidden="false" customHeight="false" outlineLevel="0" collapsed="false">
      <c r="B20" s="3" t="s">
        <v>12</v>
      </c>
    </row>
    <row r="21" customFormat="false" ht="22.35" hidden="false" customHeight="false" outlineLevel="0" collapsed="false">
      <c r="B21" s="4" t="s">
        <v>13</v>
      </c>
    </row>
    <row r="22" customFormat="false" ht="15" hidden="false" customHeight="false" outlineLevel="0" collapsed="false">
      <c r="B22" s="4"/>
    </row>
    <row r="23" customFormat="false" ht="15" hidden="false" customHeight="false" outlineLevel="0" collapsed="false">
      <c r="B23" s="3" t="s">
        <v>14</v>
      </c>
    </row>
    <row r="24" customFormat="false" ht="15" hidden="false" customHeight="false" outlineLevel="0" collapsed="false">
      <c r="B24" s="4" t="s">
        <v>15</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8"/>
    <col collapsed="false" customWidth="true" hidden="false" outlineLevel="0" max="3" min="3" style="0" width="16"/>
    <col collapsed="false" customWidth="true" hidden="false" outlineLevel="0" max="7" min="4" style="0" width="14"/>
    <col collapsed="false" customWidth="true" hidden="false" outlineLevel="0" max="8" min="8" style="0" width="16"/>
    <col collapsed="false" customWidth="true" hidden="false" outlineLevel="0" max="9" min="9" style="0" width="14"/>
    <col collapsed="false" customWidth="true" hidden="false" outlineLevel="0" max="10" min="10" style="0" width="70"/>
  </cols>
  <sheetData>
    <row r="2" customFormat="false" ht="17.35" hidden="false" customHeight="false" outlineLevel="0" collapsed="false">
      <c r="B2" s="1" t="s">
        <v>16</v>
      </c>
      <c r="C2" s="1"/>
      <c r="D2" s="1"/>
      <c r="E2" s="1"/>
      <c r="F2" s="1"/>
      <c r="G2" s="1"/>
      <c r="H2" s="1"/>
      <c r="I2" s="1"/>
      <c r="J2" s="1"/>
    </row>
    <row r="3" customFormat="false" ht="15" hidden="false" customHeight="false" outlineLevel="0" collapsed="false">
      <c r="B3" s="2" t="s">
        <v>17</v>
      </c>
    </row>
    <row r="5" customFormat="false" ht="15" hidden="false" customHeight="false" outlineLevel="0" collapsed="false">
      <c r="B5" s="5" t="s">
        <v>18</v>
      </c>
    </row>
    <row r="6" customFormat="false" ht="15" hidden="false" customHeight="false" outlineLevel="0" collapsed="false">
      <c r="B6" s="0" t="s">
        <v>19</v>
      </c>
      <c r="C6" s="6" t="n">
        <v>1500</v>
      </c>
      <c r="D6" s="2" t="s">
        <v>20</v>
      </c>
    </row>
    <row r="7" customFormat="false" ht="15" hidden="false" customHeight="false" outlineLevel="0" collapsed="false">
      <c r="B7" s="0" t="s">
        <v>21</v>
      </c>
      <c r="C7" s="6" t="n">
        <v>1750</v>
      </c>
    </row>
    <row r="8" customFormat="false" ht="15" hidden="false" customHeight="false" outlineLevel="0" collapsed="false">
      <c r="B8" s="0" t="s">
        <v>22</v>
      </c>
      <c r="C8" s="6" t="n">
        <v>2000</v>
      </c>
    </row>
    <row r="10" customFormat="false" ht="15" hidden="false" customHeight="false" outlineLevel="0" collapsed="false">
      <c r="B10" s="7" t="s">
        <v>23</v>
      </c>
      <c r="C10" s="8" t="s">
        <v>24</v>
      </c>
      <c r="D10" s="8" t="s">
        <v>25</v>
      </c>
      <c r="E10" s="8" t="s">
        <v>26</v>
      </c>
      <c r="F10" s="8" t="s">
        <v>27</v>
      </c>
      <c r="G10" s="8" t="s">
        <v>28</v>
      </c>
      <c r="H10" s="8" t="s">
        <v>29</v>
      </c>
      <c r="I10" s="8" t="s">
        <v>30</v>
      </c>
      <c r="J10" s="8" t="s">
        <v>31</v>
      </c>
    </row>
    <row r="11" customFormat="false" ht="15" hidden="false" customHeight="false" outlineLevel="0" collapsed="false">
      <c r="B11" s="5" t="s">
        <v>32</v>
      </c>
      <c r="C11" s="9" t="n">
        <v>0.4</v>
      </c>
      <c r="D11" s="10" t="n">
        <v>0.4</v>
      </c>
      <c r="E11" s="11" t="n">
        <f aca="false">IFERROR(DCF!$C$27/1000,"pending")</f>
        <v>1364.74795491056</v>
      </c>
      <c r="F11" s="11" t="n">
        <f aca="false">IFERROR(DCF!$C$63/1000,"pending")</f>
        <v>1475.87835181291</v>
      </c>
      <c r="G11" s="11" t="n">
        <f aca="false">IFERROR(DCF!$C$99/1000,"pending")</f>
        <v>1364.74795491056</v>
      </c>
      <c r="H11" s="12" t="n">
        <f aca="false">IF(ISNUMBER(E11),C11*E11,0)</f>
        <v>545.899181964222</v>
      </c>
      <c r="I11" s="12" t="n">
        <f aca="false">IF(ISNUMBER(G11),D11*G11,0)</f>
        <v>545.899181964222</v>
      </c>
      <c r="J11" s="13" t="s">
        <v>33</v>
      </c>
    </row>
    <row r="12" customFormat="false" ht="15" hidden="false" customHeight="false" outlineLevel="0" collapsed="false">
      <c r="B12" s="5" t="s">
        <v>34</v>
      </c>
      <c r="C12" s="9" t="n">
        <v>0.3</v>
      </c>
      <c r="D12" s="10" t="n">
        <v>0.3</v>
      </c>
      <c r="E12" s="11" t="n">
        <f aca="false">IFERROR(Scenario!$E$10/1000,"pending")</f>
        <v>1604.18446521165</v>
      </c>
      <c r="F12" s="11" t="n">
        <f aca="false">IFERROR(Scenario!$F$10/1000,"pending")</f>
        <v>1659.74966366283</v>
      </c>
      <c r="G12" s="11" t="n">
        <f aca="false">IFERROR(Scenario!$G$10/1000,"pending")</f>
        <v>1604.18446521165</v>
      </c>
      <c r="H12" s="12" t="n">
        <f aca="false">IF(ISNUMBER(E12),C12*E12,0)</f>
        <v>481.255339563494</v>
      </c>
      <c r="I12" s="12" t="n">
        <f aca="false">IF(ISNUMBER(G12),D12*G12,0)</f>
        <v>481.255339563494</v>
      </c>
      <c r="J12" s="13" t="s">
        <v>35</v>
      </c>
    </row>
    <row r="13" customFormat="false" ht="15" hidden="false" customHeight="false" outlineLevel="0" collapsed="false">
      <c r="B13" s="5" t="s">
        <v>36</v>
      </c>
      <c r="C13" s="9" t="n">
        <v>0.3</v>
      </c>
      <c r="D13" s="10" t="n">
        <v>0.3</v>
      </c>
      <c r="E13" s="11" t="n">
        <f aca="false">IFERROR('Relative Valuation'!$C$19/1000,"pending")</f>
        <v>1171.73511660775</v>
      </c>
      <c r="F13" s="11" t="n">
        <f aca="false">IFERROR('Relative Valuation'!$D$19/1000,"pending")</f>
        <v>1225.24443287257</v>
      </c>
      <c r="G13" s="11" t="n">
        <f aca="false">IFERROR('Relative Valuation'!$E$19/1000,"pending")</f>
        <v>1171.73511660775</v>
      </c>
      <c r="H13" s="12" t="n">
        <f aca="false">IF(ISNUMBER(E13),C13*E13,0)</f>
        <v>351.520534982326</v>
      </c>
      <c r="I13" s="12" t="n">
        <f aca="false">IF(ISNUMBER(G13),D13*G13,0)</f>
        <v>351.520534982326</v>
      </c>
      <c r="J13" s="13" t="s">
        <v>37</v>
      </c>
    </row>
    <row r="14" customFormat="false" ht="15" hidden="false" customHeight="false" outlineLevel="0" collapsed="false">
      <c r="B14" s="2" t="s">
        <v>38</v>
      </c>
      <c r="H14" s="14" t="n">
        <f aca="false">SUMPRODUCT(C11:C13,--ISNUMBER(E11:E13))</f>
        <v>1</v>
      </c>
      <c r="I14" s="14" t="n">
        <f aca="false">SUMPRODUCT(D11:D13,--ISNUMBER(G11:G13))</f>
        <v>1</v>
      </c>
    </row>
    <row r="15" customFormat="false" ht="15" hidden="false" customHeight="false" outlineLevel="0" collapsed="false">
      <c r="B15" s="5" t="s">
        <v>39</v>
      </c>
      <c r="H15" s="15" t="n">
        <f aca="false">IF(H14&gt;0,SUM(H11:H13)/H14,"n/a")</f>
        <v>1378.67505651004</v>
      </c>
      <c r="I15" s="15" t="n">
        <f aca="false">IF(I14&gt;0,SUM(I11:I13)/I14,"n/a")</f>
        <v>1378.67505651004</v>
      </c>
    </row>
    <row r="16" customFormat="false" ht="15" hidden="false" customHeight="false" outlineLevel="0" collapsed="false">
      <c r="B16" s="2" t="s">
        <v>40</v>
      </c>
      <c r="C16" s="14" t="n">
        <f aca="false">SUM(C11:C13)</f>
        <v>1</v>
      </c>
      <c r="D16" s="14" t="n">
        <f aca="false">SUM(D11:D13)</f>
        <v>1</v>
      </c>
      <c r="E16" s="5" t="str">
        <f aca="false">IF(AND(ROUND(C16,4)=1,ROUND(D16,4)=1),"OK","FIX WEIGHTS")</f>
        <v>OK</v>
      </c>
    </row>
    <row r="19" customFormat="false" ht="15" hidden="false" customHeight="false" outlineLevel="0" collapsed="false">
      <c r="B19" s="7" t="s">
        <v>41</v>
      </c>
      <c r="C19" s="8" t="s">
        <v>42</v>
      </c>
    </row>
    <row r="20" customFormat="false" ht="15" hidden="false" customHeight="false" outlineLevel="0" collapsed="false">
      <c r="B20" s="0" t="s">
        <v>43</v>
      </c>
      <c r="C20" s="12" t="n">
        <f aca="false">H15</f>
        <v>1378.67505651004</v>
      </c>
    </row>
    <row r="21" customFormat="false" ht="15" hidden="false" customHeight="false" outlineLevel="0" collapsed="false">
      <c r="B21" s="0" t="s">
        <v>44</v>
      </c>
      <c r="C21" s="12" t="n">
        <f aca="false">E11</f>
        <v>1364.74795491056</v>
      </c>
    </row>
    <row r="22" customFormat="false" ht="15" hidden="false" customHeight="false" outlineLevel="0" collapsed="false">
      <c r="B22" s="0" t="s">
        <v>45</v>
      </c>
      <c r="C22" s="12" t="n">
        <f aca="false">F11</f>
        <v>1475.87835181291</v>
      </c>
    </row>
    <row r="23" customFormat="false" ht="15" hidden="false" customHeight="false" outlineLevel="0" collapsed="false">
      <c r="B23" s="0" t="s">
        <v>46</v>
      </c>
      <c r="C23" s="12" t="n">
        <f aca="false">I15</f>
        <v>1378.67505651004</v>
      </c>
    </row>
    <row r="24" customFormat="false" ht="15" hidden="false" customHeight="false" outlineLevel="0" collapsed="false">
      <c r="B24" s="0" t="s">
        <v>47</v>
      </c>
      <c r="C24" s="12" t="n">
        <f aca="false">C6</f>
        <v>1500</v>
      </c>
    </row>
    <row r="25" customFormat="false" ht="15" hidden="false" customHeight="false" outlineLevel="0" collapsed="false">
      <c r="B25" s="0" t="s">
        <v>48</v>
      </c>
      <c r="C25" s="12" t="n">
        <f aca="false">C7</f>
        <v>1750</v>
      </c>
    </row>
    <row r="26" customFormat="false" ht="15" hidden="false" customHeight="false" outlineLevel="0" collapsed="false">
      <c r="B26" s="0" t="s">
        <v>49</v>
      </c>
      <c r="C26" s="12" t="n">
        <f aca="false">C8</f>
        <v>2000</v>
      </c>
    </row>
    <row r="28" customFormat="false" ht="15" hidden="false" customHeight="false" outlineLevel="0" collapsed="false">
      <c r="B28" s="5" t="s">
        <v>50</v>
      </c>
      <c r="C28" s="14" t="n">
        <f aca="false">IFERROR(C20/C25-1,"n/a")</f>
        <v>-0.212185681994261</v>
      </c>
    </row>
    <row r="29" customFormat="false" ht="15" hidden="false" customHeight="false" outlineLevel="0" collapsed="false">
      <c r="B29" s="5" t="s">
        <v>51</v>
      </c>
    </row>
    <row r="30" customFormat="false" ht="15" hidden="false" customHeight="true" outlineLevel="0" collapsed="false">
      <c r="B30" s="16" t="s">
        <v>52</v>
      </c>
      <c r="C30" s="16"/>
      <c r="D30" s="16"/>
      <c r="E30" s="16"/>
      <c r="F30" s="16"/>
      <c r="G30" s="16"/>
      <c r="H30" s="16"/>
      <c r="I30" s="16"/>
      <c r="J30" s="16"/>
    </row>
    <row r="31" customFormat="false" ht="15" hidden="false" customHeight="false" outlineLevel="0" collapsed="false">
      <c r="B31" s="16"/>
      <c r="C31" s="16"/>
      <c r="D31" s="16"/>
      <c r="E31" s="16"/>
      <c r="F31" s="16"/>
      <c r="G31" s="16"/>
      <c r="H31" s="16"/>
      <c r="I31" s="16"/>
      <c r="J31" s="16"/>
    </row>
    <row r="32" customFormat="false" ht="15" hidden="false" customHeight="false" outlineLevel="0" collapsed="false">
      <c r="B32" s="16"/>
      <c r="C32" s="16"/>
      <c r="D32" s="16"/>
      <c r="E32" s="16"/>
      <c r="F32" s="16"/>
      <c r="G32" s="16"/>
      <c r="H32" s="16"/>
      <c r="I32" s="16"/>
      <c r="J32" s="16"/>
    </row>
  </sheetData>
  <mergeCells count="2">
    <mergeCell ref="B2:J2"/>
    <mergeCell ref="B30: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0" width="40"/>
    <col collapsed="false" customWidth="true" hidden="false" outlineLevel="0" max="5" min="3" style="0" width="15"/>
    <col collapsed="false" customWidth="true" hidden="false" outlineLevel="0" max="8" min="6" style="0" width="13"/>
    <col collapsed="false" customWidth="true" hidden="false" outlineLevel="0" max="9" min="9" style="0" width="6"/>
    <col collapsed="false" customWidth="true" hidden="false" outlineLevel="0" max="10" min="10" style="0" width="70"/>
    <col collapsed="false" customWidth="true" hidden="false" outlineLevel="0" max="11" min="11" style="0" width="45"/>
  </cols>
  <sheetData>
    <row r="2" customFormat="false" ht="17.35" hidden="false" customHeight="false" outlineLevel="0" collapsed="false">
      <c r="B2" s="1" t="s">
        <v>53</v>
      </c>
      <c r="C2" s="1"/>
      <c r="D2" s="1"/>
      <c r="E2" s="1"/>
      <c r="F2" s="1"/>
      <c r="G2" s="1"/>
      <c r="H2" s="1"/>
      <c r="I2" s="1"/>
      <c r="J2" s="1"/>
      <c r="K2" s="1"/>
      <c r="L2" s="1"/>
    </row>
    <row r="3" customFormat="false" ht="15" hidden="false" customHeight="false" outlineLevel="0" collapsed="false">
      <c r="B3" s="5" t="s">
        <v>54</v>
      </c>
      <c r="C3" s="17" t="s">
        <v>55</v>
      </c>
      <c r="E3" s="2" t="s">
        <v>56</v>
      </c>
    </row>
    <row r="5" customFormat="false" ht="22.35" hidden="false" customHeight="false" outlineLevel="0" collapsed="false">
      <c r="B5" s="7" t="s">
        <v>57</v>
      </c>
      <c r="C5" s="8" t="s">
        <v>58</v>
      </c>
      <c r="D5" s="8" t="s">
        <v>59</v>
      </c>
      <c r="E5" s="8" t="s">
        <v>60</v>
      </c>
      <c r="F5" s="8" t="s">
        <v>61</v>
      </c>
      <c r="G5" s="8" t="s">
        <v>62</v>
      </c>
      <c r="H5" s="8" t="s">
        <v>63</v>
      </c>
      <c r="I5" s="8" t="s">
        <v>64</v>
      </c>
      <c r="J5" s="8" t="s">
        <v>65</v>
      </c>
      <c r="K5" s="8" t="s">
        <v>66</v>
      </c>
    </row>
    <row r="6" customFormat="false" ht="22.35" hidden="false" customHeight="false" outlineLevel="0" collapsed="false">
      <c r="B6" s="13" t="s">
        <v>67</v>
      </c>
      <c r="C6" s="18" t="n">
        <v>19708</v>
      </c>
      <c r="D6" s="19" t="n">
        <v>20608</v>
      </c>
      <c r="E6" s="20" t="n">
        <v>19708</v>
      </c>
      <c r="F6" s="19" t="n">
        <v>20608</v>
      </c>
      <c r="G6" s="19" t="n">
        <v>20608</v>
      </c>
      <c r="H6" s="21" t="n">
        <f aca="false">INDEX(C6:E6,MATCH($C$3,{"Sameer","AD","User"},0))</f>
        <v>19708</v>
      </c>
      <c r="I6" s="13" t="s">
        <v>68</v>
      </c>
      <c r="J6" s="4" t="s">
        <v>69</v>
      </c>
      <c r="K6" s="4" t="s">
        <v>70</v>
      </c>
    </row>
    <row r="7" customFormat="false" ht="32.8" hidden="false" customHeight="false" outlineLevel="0" collapsed="false">
      <c r="B7" s="13" t="s">
        <v>71</v>
      </c>
      <c r="C7" s="9" t="n">
        <v>4</v>
      </c>
      <c r="D7" s="22" t="n">
        <v>4</v>
      </c>
      <c r="E7" s="10" t="n">
        <v>4</v>
      </c>
      <c r="F7" s="22" t="n">
        <v>4</v>
      </c>
      <c r="G7" s="22" t="n">
        <v>4</v>
      </c>
      <c r="H7" s="23" t="n">
        <f aca="false">INDEX(C7:E7,MATCH($C$3,{"Sameer","AD","User"},0))</f>
        <v>4</v>
      </c>
      <c r="I7" s="13" t="s">
        <v>72</v>
      </c>
      <c r="J7" s="4" t="s">
        <v>73</v>
      </c>
      <c r="K7" s="4" t="s">
        <v>74</v>
      </c>
    </row>
    <row r="8" customFormat="false" ht="32.8" hidden="false" customHeight="false" outlineLevel="0" collapsed="false">
      <c r="B8" s="13" t="s">
        <v>75</v>
      </c>
      <c r="C8" s="24" t="n">
        <v>0.42</v>
      </c>
      <c r="D8" s="25" t="n">
        <v>0.42</v>
      </c>
      <c r="E8" s="26" t="n">
        <v>0.42</v>
      </c>
      <c r="F8" s="25" t="n">
        <v>0.5125</v>
      </c>
      <c r="G8" s="25" t="n">
        <v>0.09</v>
      </c>
      <c r="H8" s="27" t="n">
        <f aca="false">INDEX(C8:E8,MATCH($C$3,{"Sameer","AD","User"},0))</f>
        <v>0.42</v>
      </c>
      <c r="I8" s="13" t="s">
        <v>72</v>
      </c>
      <c r="J8" s="4" t="s">
        <v>76</v>
      </c>
      <c r="K8" s="4" t="s">
        <v>77</v>
      </c>
    </row>
    <row r="9" customFormat="false" ht="22.35" hidden="false" customHeight="false" outlineLevel="0" collapsed="false">
      <c r="B9" s="13" t="s">
        <v>78</v>
      </c>
      <c r="C9" s="9" t="n">
        <v>0.05</v>
      </c>
      <c r="D9" s="22" t="n">
        <v>0.05</v>
      </c>
      <c r="E9" s="10" t="n">
        <v>0.05</v>
      </c>
      <c r="F9" s="22" t="n">
        <v>0.05</v>
      </c>
      <c r="G9" s="22" t="n">
        <v>0.05</v>
      </c>
      <c r="H9" s="23" t="n">
        <f aca="false">INDEX(C9:E9,MATCH($C$3,{"Sameer","AD","User"},0))</f>
        <v>0.05</v>
      </c>
      <c r="I9" s="13" t="s">
        <v>72</v>
      </c>
      <c r="J9" s="4" t="s">
        <v>79</v>
      </c>
      <c r="K9" s="4" t="s">
        <v>80</v>
      </c>
    </row>
    <row r="10" customFormat="false" ht="22.35" hidden="false" customHeight="false" outlineLevel="0" collapsed="false">
      <c r="B10" s="28" t="s">
        <v>81</v>
      </c>
      <c r="C10" s="9" t="n">
        <v>0.75</v>
      </c>
      <c r="D10" s="22" t="n">
        <v>0.75</v>
      </c>
      <c r="E10" s="10" t="n">
        <v>0.75</v>
      </c>
      <c r="F10" s="22" t="n">
        <v>1</v>
      </c>
      <c r="G10" s="22" t="n">
        <v>0</v>
      </c>
      <c r="H10" s="23" t="n">
        <f aca="false">INDEX(C10:E10,MATCH($C$3,{"Sameer","AD","User"},0))</f>
        <v>0.75</v>
      </c>
      <c r="I10" s="13" t="s">
        <v>72</v>
      </c>
      <c r="J10" s="4" t="s">
        <v>82</v>
      </c>
      <c r="K10" s="4" t="s">
        <v>83</v>
      </c>
    </row>
    <row r="11" customFormat="false" ht="22.35" hidden="false" customHeight="false" outlineLevel="0" collapsed="false">
      <c r="B11" s="28" t="s">
        <v>84</v>
      </c>
      <c r="C11" s="9" t="n">
        <v>0.4</v>
      </c>
      <c r="D11" s="22" t="n">
        <v>0.4</v>
      </c>
      <c r="E11" s="10" t="n">
        <v>0.4</v>
      </c>
      <c r="F11" s="22" t="n">
        <v>0.4</v>
      </c>
      <c r="G11" s="22" t="n">
        <v>0.4</v>
      </c>
      <c r="H11" s="23" t="n">
        <f aca="false">INDEX(C11:E11,MATCH($C$3,{"Sameer","AD","User"},0))</f>
        <v>0.4</v>
      </c>
      <c r="I11" s="13" t="s">
        <v>72</v>
      </c>
      <c r="J11" s="4" t="s">
        <v>85</v>
      </c>
      <c r="K11" s="4" t="s">
        <v>86</v>
      </c>
    </row>
    <row r="12" customFormat="false" ht="15" hidden="false" customHeight="false" outlineLevel="0" collapsed="false">
      <c r="B12" s="28" t="s">
        <v>87</v>
      </c>
      <c r="C12" s="9" t="n">
        <v>0.1</v>
      </c>
      <c r="D12" s="22" t="n">
        <v>0.1</v>
      </c>
      <c r="E12" s="10" t="n">
        <v>0.1</v>
      </c>
      <c r="F12" s="22" t="n">
        <v>0.1</v>
      </c>
      <c r="G12" s="22" t="n">
        <v>0.1</v>
      </c>
      <c r="H12" s="23" t="n">
        <f aca="false">INDEX(C12:E12,MATCH($C$3,{"Sameer","AD","User"},0))</f>
        <v>0.1</v>
      </c>
      <c r="I12" s="13" t="s">
        <v>72</v>
      </c>
      <c r="J12" s="4" t="s">
        <v>88</v>
      </c>
      <c r="K12" s="4" t="s">
        <v>89</v>
      </c>
    </row>
    <row r="13" customFormat="false" ht="22.35" hidden="false" customHeight="false" outlineLevel="0" collapsed="false">
      <c r="B13" s="28" t="s">
        <v>90</v>
      </c>
      <c r="C13" s="9" t="n">
        <v>-0.05</v>
      </c>
      <c r="D13" s="22" t="n">
        <v>-0.05</v>
      </c>
      <c r="E13" s="10" t="n">
        <v>-0.05</v>
      </c>
      <c r="F13" s="22" t="n">
        <v>0</v>
      </c>
      <c r="G13" s="22" t="n">
        <v>-0.15</v>
      </c>
      <c r="H13" s="23" t="n">
        <f aca="false">INDEX(C13:E13,MATCH($C$3,{"Sameer","AD","User"},0))</f>
        <v>-0.05</v>
      </c>
      <c r="I13" s="13" t="s">
        <v>72</v>
      </c>
      <c r="J13" s="4" t="s">
        <v>91</v>
      </c>
      <c r="K13" s="4" t="s">
        <v>92</v>
      </c>
    </row>
    <row r="14" customFormat="false" ht="22.35" hidden="false" customHeight="false" outlineLevel="0" collapsed="false">
      <c r="B14" s="13" t="s">
        <v>93</v>
      </c>
      <c r="C14" s="14" t="n">
        <f aca="false">C10*C11+(1-C10)*C12+C13</f>
        <v>0.275</v>
      </c>
      <c r="D14" s="14" t="n">
        <f aca="false">D10*D11+(1-D10)*D12+D13</f>
        <v>0.275</v>
      </c>
      <c r="E14" s="14" t="n">
        <f aca="false">E10*E11+(1-E10)*E12+E13</f>
        <v>0.275</v>
      </c>
      <c r="F14" s="14" t="n">
        <f aca="false">F10*F11+(1-F10)*F12+F13</f>
        <v>0.4</v>
      </c>
      <c r="G14" s="14" t="n">
        <f aca="false">G10*G11+(1-G10)*G12+G13</f>
        <v>-0.05</v>
      </c>
      <c r="H14" s="23" t="n">
        <f aca="false">INDEX(C14:E14,MATCH($C$3,{"Sameer","AD","User"},0))</f>
        <v>0.275</v>
      </c>
      <c r="I14" s="13" t="s">
        <v>72</v>
      </c>
      <c r="J14" s="4" t="s">
        <v>94</v>
      </c>
      <c r="K14" s="4" t="s">
        <v>95</v>
      </c>
    </row>
    <row r="15" customFormat="false" ht="22.35" hidden="false" customHeight="false" outlineLevel="0" collapsed="false">
      <c r="B15" s="13" t="s">
        <v>96</v>
      </c>
      <c r="C15" s="29" t="n">
        <v>5</v>
      </c>
      <c r="D15" s="30" t="n">
        <v>5</v>
      </c>
      <c r="E15" s="31" t="n">
        <v>5</v>
      </c>
      <c r="F15" s="30" t="n">
        <v>5</v>
      </c>
      <c r="G15" s="30" t="n">
        <v>5</v>
      </c>
      <c r="H15" s="32" t="n">
        <f aca="false">INDEX(C15:E15,MATCH($C$3,{"Sameer","AD","User"},0))</f>
        <v>5</v>
      </c>
      <c r="I15" s="13" t="s">
        <v>97</v>
      </c>
      <c r="J15" s="4" t="s">
        <v>98</v>
      </c>
      <c r="K15" s="4" t="s">
        <v>99</v>
      </c>
    </row>
    <row r="16" customFormat="false" ht="43.25" hidden="false" customHeight="false" outlineLevel="0" collapsed="false">
      <c r="B16" s="13" t="s">
        <v>100</v>
      </c>
      <c r="C16" s="33" t="n">
        <v>2.5</v>
      </c>
      <c r="D16" s="34" t="n">
        <v>3</v>
      </c>
      <c r="E16" s="35" t="n">
        <v>2.5</v>
      </c>
      <c r="F16" s="34" t="n">
        <v>4</v>
      </c>
      <c r="G16" s="34" t="n">
        <v>1</v>
      </c>
      <c r="H16" s="36" t="n">
        <f aca="false">INDEX(C16:E16,MATCH($C$3,{"Sameer","AD","User"},0))</f>
        <v>2.5</v>
      </c>
      <c r="I16" s="13" t="s">
        <v>101</v>
      </c>
      <c r="J16" s="4" t="s">
        <v>102</v>
      </c>
      <c r="K16" s="4" t="s">
        <v>103</v>
      </c>
    </row>
    <row r="17" customFormat="false" ht="22.35" hidden="false" customHeight="false" outlineLevel="0" collapsed="false">
      <c r="B17" s="13" t="s">
        <v>104</v>
      </c>
      <c r="C17" s="24" t="n">
        <v>0.0974</v>
      </c>
      <c r="D17" s="25" t="n">
        <v>0.0974</v>
      </c>
      <c r="E17" s="26" t="n">
        <v>0.0974</v>
      </c>
      <c r="F17" s="25" t="n">
        <v>0.0779</v>
      </c>
      <c r="G17" s="25" t="n">
        <v>0.0988</v>
      </c>
      <c r="H17" s="27" t="n">
        <f aca="false">INDEX(C17:E17,MATCH($C$3,{"Sameer","AD","User"},0))</f>
        <v>0.0974</v>
      </c>
      <c r="I17" s="13" t="s">
        <v>72</v>
      </c>
      <c r="J17" s="4" t="s">
        <v>105</v>
      </c>
      <c r="K17" s="4" t="s">
        <v>106</v>
      </c>
    </row>
    <row r="18" customFormat="false" ht="22.35" hidden="false" customHeight="false" outlineLevel="0" collapsed="false">
      <c r="B18" s="13" t="s">
        <v>107</v>
      </c>
      <c r="C18" s="24" t="n">
        <v>0.049</v>
      </c>
      <c r="D18" s="25" t="n">
        <v>0.049</v>
      </c>
      <c r="E18" s="26" t="n">
        <v>0.049</v>
      </c>
      <c r="F18" s="25" t="n">
        <v>0.049</v>
      </c>
      <c r="G18" s="25" t="n">
        <v>0.049</v>
      </c>
      <c r="H18" s="27" t="n">
        <f aca="false">INDEX(C18:E18,MATCH($C$3,{"Sameer","AD","User"},0))</f>
        <v>0.049</v>
      </c>
      <c r="I18" s="13" t="s">
        <v>72</v>
      </c>
      <c r="J18" s="4" t="s">
        <v>108</v>
      </c>
      <c r="K18" s="4" t="s">
        <v>109</v>
      </c>
    </row>
    <row r="19" customFormat="false" ht="15" hidden="false" customHeight="false" outlineLevel="0" collapsed="false">
      <c r="B19" s="13" t="s">
        <v>110</v>
      </c>
      <c r="C19" s="24" t="n">
        <v>0.0913</v>
      </c>
      <c r="D19" s="25" t="n">
        <v>0.0913</v>
      </c>
      <c r="E19" s="26" t="n">
        <v>0.0913</v>
      </c>
      <c r="F19" s="25" t="n">
        <v>0.0913</v>
      </c>
      <c r="G19" s="25" t="n">
        <v>0.0913</v>
      </c>
      <c r="H19" s="27" t="n">
        <f aca="false">INDEX(C19:E19,MATCH($C$3,{"Sameer","AD","User"},0))</f>
        <v>0.0913</v>
      </c>
      <c r="I19" s="13" t="s">
        <v>72</v>
      </c>
      <c r="J19" s="4" t="s">
        <v>111</v>
      </c>
      <c r="K19" s="4" t="s">
        <v>112</v>
      </c>
    </row>
    <row r="20" customFormat="false" ht="22.35" hidden="false" customHeight="false" outlineLevel="0" collapsed="false">
      <c r="B20" s="13" t="s">
        <v>113</v>
      </c>
      <c r="C20" s="9" t="n">
        <v>0.15</v>
      </c>
      <c r="D20" s="22" t="n">
        <v>0.15</v>
      </c>
      <c r="E20" s="10" t="n">
        <v>0.15</v>
      </c>
      <c r="F20" s="22" t="n">
        <v>0.15</v>
      </c>
      <c r="G20" s="22" t="n">
        <v>0.15</v>
      </c>
      <c r="H20" s="23" t="n">
        <f aca="false">INDEX(C20:E20,MATCH($C$3,{"Sameer","AD","User"},0))</f>
        <v>0.15</v>
      </c>
      <c r="I20" s="13" t="s">
        <v>72</v>
      </c>
      <c r="J20" s="4" t="s">
        <v>114</v>
      </c>
      <c r="K20" s="4" t="s">
        <v>115</v>
      </c>
    </row>
    <row r="21" customFormat="false" ht="15" hidden="false" customHeight="false" outlineLevel="0" collapsed="false">
      <c r="B21" s="13" t="s">
        <v>116</v>
      </c>
      <c r="C21" s="9" t="n">
        <v>0.25</v>
      </c>
      <c r="D21" s="22" t="n">
        <v>0.25</v>
      </c>
      <c r="E21" s="10" t="n">
        <v>0.25</v>
      </c>
      <c r="F21" s="22" t="n">
        <v>0.25</v>
      </c>
      <c r="G21" s="22" t="n">
        <v>0.25</v>
      </c>
      <c r="H21" s="23" t="n">
        <f aca="false">INDEX(C21:E21,MATCH($C$3,{"Sameer","AD","User"},0))</f>
        <v>0.25</v>
      </c>
      <c r="I21" s="13" t="s">
        <v>72</v>
      </c>
      <c r="J21" s="4" t="s">
        <v>117</v>
      </c>
      <c r="K21" s="4" t="s">
        <v>118</v>
      </c>
    </row>
    <row r="22" customFormat="false" ht="22.35" hidden="false" customHeight="false" outlineLevel="0" collapsed="false">
      <c r="B22" s="13" t="s">
        <v>119</v>
      </c>
      <c r="C22" s="9" t="n">
        <v>0.1</v>
      </c>
      <c r="D22" s="22" t="n">
        <v>0.1</v>
      </c>
      <c r="E22" s="10" t="n">
        <v>0.1</v>
      </c>
      <c r="F22" s="22" t="n">
        <v>0.1</v>
      </c>
      <c r="G22" s="22" t="n">
        <v>0.1</v>
      </c>
      <c r="H22" s="23" t="n">
        <f aca="false">INDEX(C22:E22,MATCH($C$3,{"Sameer","AD","User"},0))</f>
        <v>0.1</v>
      </c>
      <c r="I22" s="13" t="s">
        <v>72</v>
      </c>
      <c r="J22" s="4" t="s">
        <v>120</v>
      </c>
      <c r="K22" s="4" t="s">
        <v>121</v>
      </c>
    </row>
    <row r="23" customFormat="false" ht="15" hidden="false" customHeight="false" outlineLevel="0" collapsed="false">
      <c r="B23" s="13" t="s">
        <v>122</v>
      </c>
      <c r="C23" s="9" t="n">
        <v>0.5</v>
      </c>
      <c r="D23" s="22" t="n">
        <v>0.5</v>
      </c>
      <c r="E23" s="10" t="n">
        <v>0.5</v>
      </c>
      <c r="F23" s="22" t="n">
        <v>0.5</v>
      </c>
      <c r="G23" s="22" t="n">
        <v>0.5</v>
      </c>
      <c r="H23" s="23" t="n">
        <f aca="false">INDEX(C23:E23,MATCH($C$3,{"Sameer","AD","User"},0))</f>
        <v>0.5</v>
      </c>
      <c r="I23" s="13" t="s">
        <v>72</v>
      </c>
      <c r="J23" s="4" t="s">
        <v>123</v>
      </c>
      <c r="K23" s="4" t="s">
        <v>124</v>
      </c>
    </row>
    <row r="24" customFormat="false" ht="32.8" hidden="false" customHeight="false" outlineLevel="0" collapsed="false">
      <c r="B24" s="13" t="s">
        <v>125</v>
      </c>
      <c r="C24" s="37" t="n">
        <v>109316</v>
      </c>
      <c r="D24" s="19" t="n">
        <v>109316</v>
      </c>
      <c r="E24" s="20" t="n">
        <v>109316</v>
      </c>
      <c r="F24" s="19" t="n">
        <v>109316</v>
      </c>
      <c r="G24" s="19" t="n">
        <v>109316</v>
      </c>
      <c r="H24" s="21" t="n">
        <f aca="false">INDEX(C24:E24,MATCH($C$3,{"Sameer","AD","User"},0))</f>
        <v>109316</v>
      </c>
      <c r="I24" s="13" t="s">
        <v>68</v>
      </c>
      <c r="J24" s="4" t="s">
        <v>126</v>
      </c>
      <c r="K24" s="4" t="s">
        <v>127</v>
      </c>
    </row>
    <row r="25" customFormat="false" ht="32.8" hidden="false" customHeight="false" outlineLevel="0" collapsed="false">
      <c r="B25" s="13" t="s">
        <v>128</v>
      </c>
      <c r="C25" s="37" t="n">
        <v>363020</v>
      </c>
      <c r="D25" s="19" t="n">
        <v>363020</v>
      </c>
      <c r="E25" s="20" t="n">
        <v>363020</v>
      </c>
      <c r="F25" s="19" t="n">
        <v>363020</v>
      </c>
      <c r="G25" s="19" t="n">
        <v>363020</v>
      </c>
      <c r="H25" s="21" t="n">
        <f aca="false">INDEX(C25:E25,MATCH($C$3,{"Sameer","AD","User"},0))</f>
        <v>363020</v>
      </c>
      <c r="I25" s="13" t="s">
        <v>68</v>
      </c>
      <c r="J25" s="4" t="s">
        <v>129</v>
      </c>
      <c r="K25" s="4" t="s">
        <v>130</v>
      </c>
    </row>
    <row r="26" customFormat="false" ht="22.35" hidden="false" customHeight="false" outlineLevel="0" collapsed="false">
      <c r="B26" s="13" t="s">
        <v>131</v>
      </c>
      <c r="C26" s="37" t="n">
        <v>112389</v>
      </c>
      <c r="D26" s="19" t="n">
        <v>112389</v>
      </c>
      <c r="E26" s="20" t="n">
        <v>112389</v>
      </c>
      <c r="F26" s="19" t="n">
        <v>112389</v>
      </c>
      <c r="G26" s="19" t="n">
        <v>112389</v>
      </c>
      <c r="H26" s="21" t="n">
        <f aca="false">INDEX(C26:E26,MATCH($C$3,{"Sameer","AD","User"},0))</f>
        <v>112389</v>
      </c>
      <c r="I26" s="13" t="s">
        <v>68</v>
      </c>
      <c r="J26" s="4" t="s">
        <v>132</v>
      </c>
      <c r="K26" s="4" t="s">
        <v>133</v>
      </c>
    </row>
    <row r="27" customFormat="false" ht="15" hidden="false" customHeight="false" outlineLevel="0" collapsed="false">
      <c r="B27" s="13" t="s">
        <v>134</v>
      </c>
      <c r="C27" s="37" t="n">
        <v>100000</v>
      </c>
      <c r="D27" s="19" t="n">
        <v>100000</v>
      </c>
      <c r="E27" s="20" t="n">
        <v>100000</v>
      </c>
      <c r="F27" s="19" t="n">
        <v>100000</v>
      </c>
      <c r="G27" s="19" t="n">
        <v>100000</v>
      </c>
      <c r="H27" s="21" t="n">
        <f aca="false">INDEX(C27:E27,MATCH($C$3,{"Sameer","AD","User"},0))</f>
        <v>100000</v>
      </c>
      <c r="I27" s="13" t="s">
        <v>68</v>
      </c>
      <c r="J27" s="4" t="s">
        <v>135</v>
      </c>
      <c r="K27" s="4" t="s">
        <v>136</v>
      </c>
    </row>
    <row r="28" customFormat="false" ht="15" hidden="false" customHeight="false" outlineLevel="0" collapsed="false">
      <c r="B28" s="13" t="s">
        <v>137</v>
      </c>
      <c r="C28" s="37" t="n">
        <v>3929</v>
      </c>
      <c r="D28" s="19" t="n">
        <v>3929</v>
      </c>
      <c r="E28" s="20" t="n">
        <v>3929</v>
      </c>
      <c r="F28" s="19" t="n">
        <v>3929</v>
      </c>
      <c r="G28" s="19" t="n">
        <v>3929</v>
      </c>
      <c r="H28" s="21" t="n">
        <f aca="false">INDEX(C28:E28,MATCH($C$3,{"Sameer","AD","User"},0))</f>
        <v>3929</v>
      </c>
      <c r="I28" s="13" t="s">
        <v>68</v>
      </c>
      <c r="J28" s="4" t="s">
        <v>138</v>
      </c>
      <c r="K28" s="4" t="s">
        <v>139</v>
      </c>
    </row>
    <row r="29" customFormat="false" ht="32.8" hidden="false" customHeight="false" outlineLevel="0" collapsed="false">
      <c r="B29" s="13" t="s">
        <v>140</v>
      </c>
      <c r="C29" s="38" t="n">
        <v>3074.6</v>
      </c>
      <c r="D29" s="39" t="n">
        <v>3074.6</v>
      </c>
      <c r="E29" s="40" t="n">
        <v>3074.6</v>
      </c>
      <c r="F29" s="39" t="n">
        <v>3074.6</v>
      </c>
      <c r="G29" s="39" t="n">
        <v>3074.6</v>
      </c>
      <c r="H29" s="41" t="n">
        <f aca="false">INDEX(C29:E29,MATCH($C$3,{"Sameer","AD","User"},0))</f>
        <v>3074.6</v>
      </c>
      <c r="I29" s="13" t="s">
        <v>141</v>
      </c>
      <c r="J29" s="4" t="s">
        <v>142</v>
      </c>
      <c r="K29" s="4" t="s">
        <v>143</v>
      </c>
    </row>
    <row r="30" customFormat="false" ht="32.8" hidden="false" customHeight="false" outlineLevel="0" collapsed="false">
      <c r="B30" s="13" t="s">
        <v>144</v>
      </c>
      <c r="C30" s="18" t="n">
        <v>472314</v>
      </c>
      <c r="D30" s="19" t="n">
        <v>472</v>
      </c>
      <c r="E30" s="20" t="n">
        <v>472314</v>
      </c>
      <c r="F30" s="19" t="n">
        <v>472</v>
      </c>
      <c r="G30" s="19" t="n">
        <v>472</v>
      </c>
      <c r="H30" s="21" t="n">
        <f aca="false">INDEX(C30:E30,MATCH($C$3,{"Sameer","AD","User"},0))</f>
        <v>472314</v>
      </c>
      <c r="I30" s="13" t="s">
        <v>68</v>
      </c>
      <c r="J30" s="4" t="s">
        <v>145</v>
      </c>
      <c r="K30" s="4" t="s">
        <v>146</v>
      </c>
    </row>
    <row r="31" customFormat="false" ht="15" hidden="false" customHeight="false" outlineLevel="0" collapsed="false">
      <c r="B31" s="13" t="s">
        <v>147</v>
      </c>
      <c r="C31" s="42" t="n">
        <v>525</v>
      </c>
      <c r="D31" s="43" t="n">
        <v>525</v>
      </c>
      <c r="E31" s="44" t="n">
        <v>525</v>
      </c>
      <c r="F31" s="43" t="n">
        <v>525</v>
      </c>
      <c r="G31" s="43" t="n">
        <v>525</v>
      </c>
      <c r="H31" s="45" t="n">
        <f aca="false">INDEX(C31:E31,MATCH($C$3,{"Sameer","AD","User"},0))</f>
        <v>525</v>
      </c>
      <c r="I31" s="13" t="s">
        <v>148</v>
      </c>
      <c r="J31" s="4" t="s">
        <v>149</v>
      </c>
      <c r="K31" s="4" t="s">
        <v>150</v>
      </c>
    </row>
    <row r="33" customFormat="false" ht="15" hidden="false" customHeight="false" outlineLevel="0" collapsed="false">
      <c r="B33" s="2" t="s">
        <v>151</v>
      </c>
    </row>
  </sheetData>
  <mergeCells count="1">
    <mergeCell ref="B2:L2"/>
  </mergeCells>
  <dataValidations count="1">
    <dataValidation allowBlank="false" errorStyle="stop" operator="between" showDropDown="false" showErrorMessage="false" showInputMessage="false" sqref="C3" type="list">
      <formula1>"Sameer,AD,User"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0" width="48"/>
    <col collapsed="false" customWidth="true" hidden="false" outlineLevel="0" max="3" min="3" style="0" width="12"/>
    <col collapsed="false" customWidth="true" hidden="false" outlineLevel="0" max="19" min="4" style="0" width="10"/>
  </cols>
  <sheetData>
    <row r="2" customFormat="false" ht="17.35" hidden="false" customHeight="false" outlineLevel="0" collapsed="false">
      <c r="B2" s="1" t="s">
        <v>152</v>
      </c>
      <c r="C2" s="1"/>
      <c r="D2" s="1"/>
      <c r="E2" s="1"/>
      <c r="F2" s="1"/>
      <c r="G2" s="1"/>
      <c r="H2" s="1"/>
      <c r="I2" s="1"/>
      <c r="J2" s="1"/>
      <c r="K2" s="1"/>
      <c r="L2" s="1"/>
      <c r="M2" s="1"/>
      <c r="N2" s="1"/>
      <c r="O2" s="1"/>
      <c r="P2" s="1"/>
      <c r="Q2" s="1"/>
    </row>
    <row r="5" customFormat="false" ht="15" hidden="false" customHeight="false" outlineLevel="0" collapsed="false">
      <c r="B5" s="7" t="s">
        <v>153</v>
      </c>
      <c r="C5" s="8" t="s">
        <v>154</v>
      </c>
      <c r="D5" s="8" t="s">
        <v>155</v>
      </c>
      <c r="E5" s="8" t="s">
        <v>156</v>
      </c>
      <c r="F5" s="8" t="s">
        <v>157</v>
      </c>
      <c r="G5" s="8" t="s">
        <v>158</v>
      </c>
      <c r="H5" s="8" t="s">
        <v>159</v>
      </c>
      <c r="I5" s="8" t="s">
        <v>160</v>
      </c>
      <c r="J5" s="8" t="s">
        <v>161</v>
      </c>
      <c r="K5" s="8" t="s">
        <v>162</v>
      </c>
      <c r="L5" s="8" t="s">
        <v>163</v>
      </c>
      <c r="M5" s="8" t="s">
        <v>164</v>
      </c>
      <c r="N5" s="8" t="s">
        <v>165</v>
      </c>
      <c r="O5" s="8" t="s">
        <v>166</v>
      </c>
      <c r="P5" s="8" t="s">
        <v>167</v>
      </c>
      <c r="Q5" s="8" t="s">
        <v>168</v>
      </c>
      <c r="R5" s="8" t="s">
        <v>169</v>
      </c>
    </row>
    <row r="6" customFormat="false" ht="15" hidden="false" customHeight="false" outlineLevel="0" collapsed="false">
      <c r="B6" s="5" t="s">
        <v>170</v>
      </c>
      <c r="D6" s="19" t="n">
        <v>41</v>
      </c>
      <c r="E6" s="19" t="n">
        <v>386</v>
      </c>
      <c r="F6" s="19" t="n">
        <v>4585</v>
      </c>
      <c r="G6" s="19" t="n">
        <v>1163</v>
      </c>
      <c r="H6" s="19" t="n">
        <v>16286</v>
      </c>
      <c r="I6" s="46" t="n">
        <f aca="false">DCF!D81</f>
        <v>98540</v>
      </c>
      <c r="J6" s="46" t="n">
        <f aca="false">DCF!E81</f>
        <v>139926.8</v>
      </c>
      <c r="K6" s="46" t="n">
        <f aca="false">DCF!F81</f>
        <v>198696.056</v>
      </c>
      <c r="L6" s="46" t="n">
        <f aca="false">DCF!G81</f>
        <v>282148.39952</v>
      </c>
      <c r="M6" s="46" t="n">
        <f aca="false">DCF!H81</f>
        <v>400650.7273184</v>
      </c>
      <c r="N6" s="46" t="n">
        <f aca="false">DCF!I81</f>
        <v>539195.748825103</v>
      </c>
      <c r="O6" s="46" t="n">
        <f aca="false">DCF!J81</f>
        <v>685641.314206001</v>
      </c>
      <c r="P6" s="46" t="n">
        <f aca="false">DCF!K81</f>
        <v>820986.909630265</v>
      </c>
      <c r="Q6" s="46" t="n">
        <f aca="false">DCF!L81</f>
        <v>922132.496896714</v>
      </c>
      <c r="R6" s="46" t="n">
        <f aca="false">DCF!M81</f>
        <v>967316.989244653</v>
      </c>
    </row>
    <row r="7" customFormat="false" ht="15" hidden="false" customHeight="false" outlineLevel="0" collapsed="false">
      <c r="C7" s="2" t="s">
        <v>171</v>
      </c>
      <c r="E7" s="14" t="n">
        <f aca="false">E6/D6-1</f>
        <v>8.41463414634146</v>
      </c>
      <c r="F7" s="14" t="n">
        <f aca="false">F6/E6-1</f>
        <v>10.8782383419689</v>
      </c>
      <c r="H7" s="14" t="n">
        <f aca="false">H6/G6-1</f>
        <v>13.0034393809114</v>
      </c>
      <c r="I7" s="47" t="n">
        <f aca="false">DCF!D80</f>
        <v>4</v>
      </c>
      <c r="J7" s="47" t="n">
        <f aca="false">DCF!E80</f>
        <v>0.42</v>
      </c>
      <c r="K7" s="47" t="n">
        <f aca="false">DCF!F80</f>
        <v>0.42</v>
      </c>
      <c r="L7" s="47" t="n">
        <f aca="false">DCF!G80</f>
        <v>0.42</v>
      </c>
      <c r="M7" s="47" t="n">
        <f aca="false">DCF!H80</f>
        <v>0.42</v>
      </c>
      <c r="N7" s="47" t="n">
        <f aca="false">DCF!I80</f>
        <v>0.3458</v>
      </c>
      <c r="O7" s="47" t="n">
        <f aca="false">DCF!J80</f>
        <v>0.2716</v>
      </c>
      <c r="P7" s="47" t="n">
        <f aca="false">DCF!K80</f>
        <v>0.1974</v>
      </c>
      <c r="Q7" s="47" t="n">
        <f aca="false">DCF!L80</f>
        <v>0.1232</v>
      </c>
      <c r="R7" s="47" t="n">
        <f aca="false">DCF!M80</f>
        <v>0.049</v>
      </c>
    </row>
    <row r="8" customFormat="false" ht="15" hidden="false" customHeight="false" outlineLevel="0" collapsed="false">
      <c r="B8" s="5" t="s">
        <v>172</v>
      </c>
      <c r="G8" s="19" t="n">
        <v>2334</v>
      </c>
      <c r="H8" s="19" t="n">
        <v>8945</v>
      </c>
    </row>
    <row r="9" customFormat="false" ht="15" hidden="false" customHeight="false" outlineLevel="0" collapsed="false">
      <c r="C9" s="2" t="s">
        <v>173</v>
      </c>
      <c r="G9" s="14" t="n">
        <f aca="false">G8/G6</f>
        <v>2.00687876182287</v>
      </c>
      <c r="H9" s="14" t="n">
        <f aca="false">H8/H6</f>
        <v>0.549244750092104</v>
      </c>
    </row>
    <row r="10" customFormat="false" ht="15" hidden="false" customHeight="false" outlineLevel="0" collapsed="false">
      <c r="B10" s="5" t="s">
        <v>174</v>
      </c>
      <c r="D10" s="19" t="n">
        <v>-551</v>
      </c>
      <c r="E10" s="19" t="n">
        <v>-2980</v>
      </c>
      <c r="F10" s="19" t="n">
        <v>-8060</v>
      </c>
      <c r="G10" s="19" t="n">
        <v>-2135</v>
      </c>
      <c r="H10" s="19" t="n">
        <v>-693</v>
      </c>
      <c r="I10" s="46" t="n">
        <f aca="false">DCF!D83</f>
        <v>4927</v>
      </c>
      <c r="J10" s="46" t="n">
        <f aca="false">DCF!E83</f>
        <v>19589.752</v>
      </c>
      <c r="K10" s="46" t="n">
        <f aca="false">DCF!F83</f>
        <v>36758.77036</v>
      </c>
      <c r="L10" s="46" t="n">
        <f aca="false">DCF!G83</f>
        <v>64894.1318896</v>
      </c>
      <c r="M10" s="46" t="n">
        <f aca="false">DCF!H83</f>
        <v>110178.95001256</v>
      </c>
      <c r="N10" s="46" t="n">
        <f aca="false">DCF!I83</f>
        <v>148278.830926903</v>
      </c>
      <c r="O10" s="46" t="n">
        <f aca="false">DCF!J83</f>
        <v>188551.36140665</v>
      </c>
      <c r="P10" s="46" t="n">
        <f aca="false">DCF!K83</f>
        <v>225771.400148323</v>
      </c>
      <c r="Q10" s="46" t="n">
        <f aca="false">DCF!L83</f>
        <v>253586.436646596</v>
      </c>
      <c r="R10" s="46" t="n">
        <f aca="false">DCF!M83</f>
        <v>266012.17204228</v>
      </c>
    </row>
    <row r="11" customFormat="false" ht="15" hidden="false" customHeight="false" outlineLevel="0" collapsed="false">
      <c r="C11" s="2" t="s">
        <v>175</v>
      </c>
      <c r="D11" s="14" t="n">
        <f aca="false">D10/D6</f>
        <v>-13.4390243902439</v>
      </c>
      <c r="E11" s="14" t="n">
        <f aca="false">E10/E6</f>
        <v>-7.72020725388601</v>
      </c>
      <c r="F11" s="14" t="n">
        <f aca="false">F10/F6</f>
        <v>-1.75790621592148</v>
      </c>
      <c r="G11" s="14" t="n">
        <f aca="false">G10/G6</f>
        <v>-1.83576956147893</v>
      </c>
      <c r="H11" s="14" t="n">
        <f aca="false">H10/H6</f>
        <v>-0.0425518850546482</v>
      </c>
      <c r="I11" s="47" t="n">
        <f aca="false">DCF!D82</f>
        <v>0.05</v>
      </c>
      <c r="J11" s="47" t="n">
        <f aca="false">DCF!E82</f>
        <v>0.14</v>
      </c>
      <c r="K11" s="47" t="n">
        <f aca="false">DCF!F82</f>
        <v>0.185</v>
      </c>
      <c r="L11" s="47" t="n">
        <f aca="false">DCF!G82</f>
        <v>0.23</v>
      </c>
      <c r="M11" s="47" t="n">
        <f aca="false">DCF!H82</f>
        <v>0.275</v>
      </c>
      <c r="N11" s="47" t="n">
        <f aca="false">DCF!I82</f>
        <v>0.275</v>
      </c>
      <c r="O11" s="47" t="n">
        <f aca="false">DCF!J82</f>
        <v>0.275</v>
      </c>
      <c r="P11" s="47" t="n">
        <f aca="false">DCF!K82</f>
        <v>0.275</v>
      </c>
      <c r="Q11" s="47" t="n">
        <f aca="false">DCF!L82</f>
        <v>0.275</v>
      </c>
      <c r="R11" s="47" t="n">
        <f aca="false">DCF!M82</f>
        <v>0.275</v>
      </c>
    </row>
    <row r="12" customFormat="false" ht="15" hidden="false" customHeight="false" outlineLevel="0" collapsed="false">
      <c r="B12" s="5" t="s">
        <v>176</v>
      </c>
      <c r="D12" s="19" t="n">
        <v>-1531</v>
      </c>
      <c r="E12" s="19" t="n">
        <v>-8309</v>
      </c>
      <c r="F12" s="19" t="n">
        <v>-41965</v>
      </c>
      <c r="G12" s="19" t="n">
        <v>-12969</v>
      </c>
      <c r="H12" s="19" t="n">
        <v>-80748</v>
      </c>
    </row>
    <row r="13" customFormat="false" ht="15" hidden="false" customHeight="false" outlineLevel="0" collapsed="false">
      <c r="B13" s="5" t="s">
        <v>177</v>
      </c>
      <c r="D13" s="19" t="n">
        <v>29</v>
      </c>
      <c r="E13" s="19" t="n">
        <v>192</v>
      </c>
      <c r="F13" s="19" t="n">
        <v>1165</v>
      </c>
      <c r="G13" s="19" t="n">
        <v>286</v>
      </c>
      <c r="H13" s="19" t="n">
        <v>2185</v>
      </c>
    </row>
    <row r="14" customFormat="false" ht="15" hidden="false" customHeight="false" outlineLevel="0" collapsed="false">
      <c r="B14" s="5" t="s">
        <v>178</v>
      </c>
      <c r="D14" s="19" t="n">
        <v>-522</v>
      </c>
      <c r="E14" s="19" t="n">
        <v>-2788</v>
      </c>
      <c r="F14" s="19" t="n">
        <v>-4854</v>
      </c>
      <c r="G14" s="19" t="n">
        <v>-1849</v>
      </c>
      <c r="H14" s="19" t="n">
        <v>1618</v>
      </c>
    </row>
    <row r="15" customFormat="false" ht="15" hidden="false" customHeight="false" outlineLevel="0" collapsed="false">
      <c r="B15" s="5" t="s">
        <v>179</v>
      </c>
      <c r="D15" s="19" t="n">
        <v>-1627</v>
      </c>
      <c r="E15" s="19" t="n">
        <v>-5692</v>
      </c>
      <c r="F15" s="19" t="n">
        <v>-2637</v>
      </c>
      <c r="G15" s="19" t="n">
        <v>-1513</v>
      </c>
      <c r="H15" s="19" t="n">
        <v>3929</v>
      </c>
    </row>
    <row r="16" customFormat="false" ht="15" hidden="false" customHeight="false" outlineLevel="0" collapsed="false">
      <c r="B16" s="5" t="s">
        <v>180</v>
      </c>
      <c r="D16" s="19" t="n">
        <v>-2</v>
      </c>
      <c r="E16" s="19" t="n">
        <v>-15</v>
      </c>
      <c r="F16" s="19" t="n">
        <v>-131</v>
      </c>
      <c r="G16" s="19" t="n">
        <v>-18</v>
      </c>
      <c r="H16" s="19" t="n">
        <v>-482</v>
      </c>
    </row>
    <row r="18" customFormat="false" ht="15" hidden="false" customHeight="false" outlineLevel="0" collapsed="false">
      <c r="B18" s="48" t="s">
        <v>181</v>
      </c>
    </row>
    <row r="19" customFormat="false" ht="15" hidden="false" customHeight="false" outlineLevel="0" collapsed="false">
      <c r="B19" s="7" t="s">
        <v>153</v>
      </c>
      <c r="C19" s="8"/>
      <c r="D19" s="8" t="s">
        <v>182</v>
      </c>
      <c r="E19" s="8" t="s">
        <v>183</v>
      </c>
      <c r="F19" s="8" t="s">
        <v>184</v>
      </c>
      <c r="G19" s="8" t="s">
        <v>185</v>
      </c>
      <c r="H19" s="8" t="s">
        <v>186</v>
      </c>
      <c r="I19" s="8" t="s">
        <v>187</v>
      </c>
    </row>
    <row r="20" customFormat="false" ht="15" hidden="false" customHeight="false" outlineLevel="0" collapsed="false">
      <c r="B20" s="5" t="s">
        <v>170</v>
      </c>
      <c r="D20" s="19" t="n">
        <v>376</v>
      </c>
      <c r="E20" s="19" t="n">
        <v>787</v>
      </c>
      <c r="F20" s="19" t="n">
        <v>1382</v>
      </c>
      <c r="G20" s="19" t="n">
        <v>2040</v>
      </c>
      <c r="H20" s="19" t="n">
        <v>4731</v>
      </c>
      <c r="I20" s="19" t="n">
        <v>11555</v>
      </c>
    </row>
    <row r="21" customFormat="false" ht="15" hidden="false" customHeight="false" outlineLevel="0" collapsed="false">
      <c r="C21" s="2" t="s">
        <v>188</v>
      </c>
      <c r="E21" s="14" t="n">
        <f aca="false">E20/D20-1</f>
        <v>1.09308510638298</v>
      </c>
      <c r="F21" s="14" t="n">
        <f aca="false">F20/E20-1</f>
        <v>0.756035578144854</v>
      </c>
      <c r="G21" s="14" t="n">
        <f aca="false">G20/F20-1</f>
        <v>0.476121562952243</v>
      </c>
      <c r="H21" s="14" t="n">
        <f aca="false">H20/G20-1</f>
        <v>1.31911764705882</v>
      </c>
      <c r="I21" s="14" t="n">
        <f aca="false">I20/H20-1</f>
        <v>1.4424011836821</v>
      </c>
    </row>
    <row r="22" customFormat="false" ht="15" hidden="false" customHeight="false" outlineLevel="0" collapsed="false">
      <c r="B22" s="13" t="s">
        <v>172</v>
      </c>
      <c r="D22" s="19" t="n">
        <v>944</v>
      </c>
      <c r="E22" s="19" t="n">
        <v>1390</v>
      </c>
      <c r="F22" s="19" t="n">
        <v>2047</v>
      </c>
      <c r="G22" s="19" t="n">
        <v>2945</v>
      </c>
      <c r="H22" s="19" t="n">
        <v>3387</v>
      </c>
      <c r="I22" s="19" t="n">
        <v>5558</v>
      </c>
    </row>
    <row r="23" customFormat="false" ht="15" hidden="false" customHeight="false" outlineLevel="0" collapsed="false">
      <c r="C23" s="2" t="s">
        <v>173</v>
      </c>
      <c r="D23" s="14" t="n">
        <f aca="false">D22/D20</f>
        <v>2.51063829787234</v>
      </c>
      <c r="E23" s="14" t="n">
        <f aca="false">E22/E20</f>
        <v>1.76620076238882</v>
      </c>
      <c r="F23" s="14" t="n">
        <f aca="false">F22/F20</f>
        <v>1.48118668596237</v>
      </c>
      <c r="G23" s="14" t="n">
        <f aca="false">G22/G20</f>
        <v>1.44362745098039</v>
      </c>
      <c r="H23" s="14" t="n">
        <f aca="false">H22/H20</f>
        <v>0.715916296766011</v>
      </c>
      <c r="I23" s="14" t="n">
        <f aca="false">I22/I20</f>
        <v>0.481003894418001</v>
      </c>
    </row>
    <row r="24" customFormat="false" ht="15" hidden="false" customHeight="false" outlineLevel="0" collapsed="false">
      <c r="B24" s="13" t="s">
        <v>189</v>
      </c>
      <c r="D24" s="19" t="n">
        <v>218</v>
      </c>
      <c r="E24" s="19" t="n">
        <v>320</v>
      </c>
      <c r="F24" s="19" t="n">
        <v>489</v>
      </c>
      <c r="G24" s="19" t="n">
        <v>812</v>
      </c>
      <c r="H24" s="19" t="n">
        <v>1295</v>
      </c>
      <c r="I24" s="19" t="n">
        <v>1857</v>
      </c>
    </row>
    <row r="25" customFormat="false" ht="15" hidden="false" customHeight="false" outlineLevel="0" collapsed="false">
      <c r="B25" s="13" t="s">
        <v>190</v>
      </c>
      <c r="D25" s="19" t="n">
        <v>0</v>
      </c>
      <c r="E25" s="19" t="n">
        <v>0</v>
      </c>
      <c r="F25" s="19" t="n">
        <v>1500</v>
      </c>
      <c r="G25" s="19" t="n">
        <v>0</v>
      </c>
      <c r="H25" s="19" t="n">
        <v>0</v>
      </c>
      <c r="I25" s="19" t="n">
        <v>0</v>
      </c>
    </row>
    <row r="26" customFormat="false" ht="15" hidden="false" customHeight="false" outlineLevel="0" collapsed="false">
      <c r="B26" s="13" t="s">
        <v>191</v>
      </c>
      <c r="D26" s="19" t="n">
        <v>24</v>
      </c>
      <c r="E26" s="19" t="n">
        <v>96</v>
      </c>
      <c r="F26" s="19" t="n">
        <v>202</v>
      </c>
      <c r="G26" s="19" t="n">
        <v>246</v>
      </c>
      <c r="H26" s="19" t="n">
        <v>1033</v>
      </c>
      <c r="I26" s="19" t="n">
        <v>2135</v>
      </c>
    </row>
    <row r="27" customFormat="false" ht="15" hidden="false" customHeight="false" outlineLevel="0" collapsed="false">
      <c r="B27" s="13" t="s">
        <v>192</v>
      </c>
      <c r="D27" s="19" t="n">
        <v>125</v>
      </c>
      <c r="E27" s="19" t="n">
        <v>181</v>
      </c>
      <c r="F27" s="19" t="n">
        <v>233</v>
      </c>
      <c r="G27" s="19" t="n">
        <v>873</v>
      </c>
      <c r="H27" s="19" t="n">
        <v>683</v>
      </c>
      <c r="I27" s="19" t="n">
        <v>1031</v>
      </c>
    </row>
    <row r="28" customFormat="false" ht="15" hidden="false" customHeight="false" outlineLevel="0" collapsed="false">
      <c r="B28" s="5" t="s">
        <v>174</v>
      </c>
      <c r="D28" s="19" t="n">
        <v>-935</v>
      </c>
      <c r="E28" s="19" t="n">
        <v>-1200</v>
      </c>
      <c r="F28" s="19" t="n">
        <v>-3089</v>
      </c>
      <c r="G28" s="19" t="n">
        <v>-2836</v>
      </c>
      <c r="H28" s="19" t="n">
        <v>-1667</v>
      </c>
      <c r="I28" s="19" t="n">
        <v>974</v>
      </c>
    </row>
    <row r="29" customFormat="false" ht="15" hidden="false" customHeight="false" outlineLevel="0" collapsed="false">
      <c r="C29" s="2" t="s">
        <v>193</v>
      </c>
      <c r="D29" s="14" t="n">
        <f aca="false">D28/D20</f>
        <v>-2.48670212765957</v>
      </c>
      <c r="E29" s="14" t="n">
        <f aca="false">E28/E20</f>
        <v>-1.52477763659466</v>
      </c>
      <c r="F29" s="14" t="n">
        <f aca="false">F28/F20</f>
        <v>-2.23516642547033</v>
      </c>
      <c r="G29" s="14" t="n">
        <f aca="false">G28/G20</f>
        <v>-1.39019607843137</v>
      </c>
      <c r="H29" s="14" t="n">
        <f aca="false">H28/H20</f>
        <v>-0.352356795603467</v>
      </c>
      <c r="I29" s="14" t="n">
        <f aca="false">I28/I20</f>
        <v>0.0842925140631761</v>
      </c>
    </row>
    <row r="30" customFormat="false" ht="15" hidden="false" customHeight="false" outlineLevel="0" collapsed="false">
      <c r="B30" s="13" t="s">
        <v>194</v>
      </c>
      <c r="D30" s="19" t="n">
        <v>51</v>
      </c>
      <c r="E30" s="19" t="n">
        <v>64</v>
      </c>
      <c r="F30" s="19" t="n">
        <v>124</v>
      </c>
      <c r="G30" s="19" t="n">
        <v>192</v>
      </c>
      <c r="H30" s="19" t="n">
        <v>349</v>
      </c>
      <c r="I30" s="19" t="n">
        <v>762</v>
      </c>
    </row>
    <row r="31" customFormat="false" ht="15" hidden="false" customHeight="false" outlineLevel="0" collapsed="false">
      <c r="B31" s="13" t="s">
        <v>195</v>
      </c>
      <c r="D31" s="19" t="n">
        <v>-5701</v>
      </c>
      <c r="E31" s="19" t="n">
        <v>-5241</v>
      </c>
      <c r="F31" s="19" t="n">
        <v>-9165</v>
      </c>
      <c r="G31" s="19" t="n">
        <v>-14201</v>
      </c>
      <c r="H31" s="19" t="n">
        <v>-12791</v>
      </c>
      <c r="I31" s="19" t="n">
        <v>-59597</v>
      </c>
    </row>
    <row r="32" customFormat="false" ht="15" hidden="false" customHeight="false" outlineLevel="0" collapsed="false">
      <c r="B32" s="13" t="s">
        <v>196</v>
      </c>
      <c r="D32" s="19" t="n">
        <v>0</v>
      </c>
      <c r="E32" s="19" t="n">
        <v>0</v>
      </c>
      <c r="F32" s="19" t="n">
        <v>-3</v>
      </c>
      <c r="G32" s="19" t="n">
        <v>-5</v>
      </c>
      <c r="H32" s="19" t="n">
        <v>-309</v>
      </c>
      <c r="I32" s="19" t="n">
        <v>-8448</v>
      </c>
    </row>
    <row r="33" customFormat="false" ht="15" hidden="false" customHeight="false" outlineLevel="0" collapsed="false">
      <c r="B33" s="5" t="s">
        <v>176</v>
      </c>
      <c r="D33" s="19" t="n">
        <v>-6592</v>
      </c>
      <c r="E33" s="19" t="n">
        <v>-6377</v>
      </c>
      <c r="F33" s="19" t="n">
        <v>-12138</v>
      </c>
      <c r="G33" s="19" t="n">
        <v>-16858</v>
      </c>
      <c r="H33" s="19" t="n">
        <v>-14439</v>
      </c>
      <c r="I33" s="19" t="n">
        <v>-66309</v>
      </c>
    </row>
    <row r="34" customFormat="false" ht="15" hidden="false" customHeight="false" outlineLevel="0" collapsed="false">
      <c r="B34" s="13" t="s">
        <v>177</v>
      </c>
      <c r="D34" s="19" t="n">
        <v>105</v>
      </c>
      <c r="E34" s="19" t="n">
        <v>181</v>
      </c>
      <c r="F34" s="19" t="n">
        <v>305</v>
      </c>
      <c r="G34" s="19" t="n">
        <v>574</v>
      </c>
      <c r="H34" s="19" t="n">
        <v>924</v>
      </c>
      <c r="I34" s="19" t="n">
        <v>1261</v>
      </c>
    </row>
    <row r="36" customFormat="false" ht="15" hidden="false" customHeight="false" outlineLevel="0" collapsed="false">
      <c r="B36" s="2" t="s">
        <v>197</v>
      </c>
    </row>
  </sheetData>
  <mergeCells count="1">
    <mergeCell ref="B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1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14" min="3" style="0" width="11"/>
  </cols>
  <sheetData>
    <row r="2" customFormat="false" ht="17.35" hidden="false" customHeight="false" outlineLevel="0" collapsed="false">
      <c r="B2" s="1" t="s">
        <v>198</v>
      </c>
      <c r="C2" s="1"/>
      <c r="D2" s="1"/>
      <c r="E2" s="1"/>
      <c r="F2" s="1"/>
      <c r="G2" s="1"/>
      <c r="H2" s="1"/>
      <c r="I2" s="1"/>
      <c r="J2" s="1"/>
      <c r="K2" s="1"/>
      <c r="L2" s="1"/>
      <c r="M2" s="1"/>
      <c r="N2" s="1"/>
    </row>
    <row r="5" customFormat="false" ht="15" hidden="false" customHeight="false" outlineLevel="0" collapsed="false">
      <c r="B5" s="49" t="s">
        <v>199</v>
      </c>
      <c r="C5" s="50"/>
      <c r="D5" s="50"/>
      <c r="E5" s="50"/>
      <c r="F5" s="50"/>
      <c r="G5" s="50"/>
      <c r="H5" s="50"/>
      <c r="I5" s="50"/>
      <c r="J5" s="50"/>
      <c r="K5" s="50"/>
      <c r="L5" s="50"/>
      <c r="M5" s="50"/>
      <c r="N5" s="50"/>
    </row>
    <row r="6" customFormat="false" ht="15" hidden="false" customHeight="false" outlineLevel="0" collapsed="false">
      <c r="B6" s="7" t="s">
        <v>68</v>
      </c>
      <c r="C6" s="8" t="s">
        <v>200</v>
      </c>
      <c r="D6" s="8" t="s">
        <v>160</v>
      </c>
      <c r="E6" s="8" t="s">
        <v>161</v>
      </c>
      <c r="F6" s="8" t="s">
        <v>162</v>
      </c>
      <c r="G6" s="8" t="s">
        <v>163</v>
      </c>
      <c r="H6" s="8" t="s">
        <v>164</v>
      </c>
      <c r="I6" s="8" t="s">
        <v>165</v>
      </c>
      <c r="J6" s="8" t="s">
        <v>166</v>
      </c>
      <c r="K6" s="8" t="s">
        <v>167</v>
      </c>
      <c r="L6" s="8" t="s">
        <v>168</v>
      </c>
      <c r="M6" s="8" t="s">
        <v>169</v>
      </c>
      <c r="N6" s="8" t="s">
        <v>201</v>
      </c>
    </row>
    <row r="7" customFormat="false" ht="15" hidden="false" customHeight="false" outlineLevel="0" collapsed="false">
      <c r="B7" s="2" t="s">
        <v>202</v>
      </c>
      <c r="D7" s="2" t="n">
        <v>1</v>
      </c>
      <c r="E7" s="2" t="n">
        <v>2</v>
      </c>
      <c r="F7" s="2" t="n">
        <v>3</v>
      </c>
      <c r="G7" s="2" t="n">
        <v>4</v>
      </c>
      <c r="H7" s="2" t="n">
        <v>5</v>
      </c>
      <c r="I7" s="2" t="n">
        <v>6</v>
      </c>
      <c r="J7" s="2" t="n">
        <v>7</v>
      </c>
      <c r="K7" s="2" t="n">
        <v>8</v>
      </c>
      <c r="L7" s="2" t="n">
        <v>9</v>
      </c>
      <c r="M7" s="2" t="n">
        <v>10</v>
      </c>
    </row>
    <row r="8" customFormat="false" ht="15" hidden="false" customHeight="false" outlineLevel="0" collapsed="false">
      <c r="B8" s="13" t="s">
        <v>203</v>
      </c>
      <c r="C8" s="14"/>
      <c r="D8" s="14" t="n">
        <f aca="false">IF(D$7=1,Assumptions!$C$7,IF(D$7&lt;=5,Assumptions!$C$8,Assumptions!$C$8-((Assumptions!$C$8-Assumptions!$C$18)/5)*(D$7-5)))</f>
        <v>4</v>
      </c>
      <c r="E8" s="14" t="n">
        <f aca="false">IF(E$7=1,Assumptions!$C$7,IF(E$7&lt;=5,Assumptions!$C$8,Assumptions!$C$8-((Assumptions!$C$8-Assumptions!$C$18)/5)*(E$7-5)))</f>
        <v>0.42</v>
      </c>
      <c r="F8" s="14" t="n">
        <f aca="false">IF(F$7=1,Assumptions!$C$7,IF(F$7&lt;=5,Assumptions!$C$8,Assumptions!$C$8-((Assumptions!$C$8-Assumptions!$C$18)/5)*(F$7-5)))</f>
        <v>0.42</v>
      </c>
      <c r="G8" s="14" t="n">
        <f aca="false">IF(G$7=1,Assumptions!$C$7,IF(G$7&lt;=5,Assumptions!$C$8,Assumptions!$C$8-((Assumptions!$C$8-Assumptions!$C$18)/5)*(G$7-5)))</f>
        <v>0.42</v>
      </c>
      <c r="H8" s="14" t="n">
        <f aca="false">IF(H$7=1,Assumptions!$C$7,IF(H$7&lt;=5,Assumptions!$C$8,Assumptions!$C$8-((Assumptions!$C$8-Assumptions!$C$18)/5)*(H$7-5)))</f>
        <v>0.42</v>
      </c>
      <c r="I8" s="14" t="n">
        <f aca="false">IF(I$7=1,Assumptions!$C$7,IF(I$7&lt;=5,Assumptions!$C$8,Assumptions!$C$8-((Assumptions!$C$8-Assumptions!$C$18)/5)*(I$7-5)))</f>
        <v>0.3458</v>
      </c>
      <c r="J8" s="14" t="n">
        <f aca="false">IF(J$7=1,Assumptions!$C$7,IF(J$7&lt;=5,Assumptions!$C$8,Assumptions!$C$8-((Assumptions!$C$8-Assumptions!$C$18)/5)*(J$7-5)))</f>
        <v>0.2716</v>
      </c>
      <c r="K8" s="14" t="n">
        <f aca="false">IF(K$7=1,Assumptions!$C$7,IF(K$7&lt;=5,Assumptions!$C$8,Assumptions!$C$8-((Assumptions!$C$8-Assumptions!$C$18)/5)*(K$7-5)))</f>
        <v>0.1974</v>
      </c>
      <c r="L8" s="14" t="n">
        <f aca="false">IF(L$7=1,Assumptions!$C$7,IF(L$7&lt;=5,Assumptions!$C$8,Assumptions!$C$8-((Assumptions!$C$8-Assumptions!$C$18)/5)*(L$7-5)))</f>
        <v>0.1232</v>
      </c>
      <c r="M8" s="14" t="n">
        <f aca="false">IF(M$7=1,Assumptions!$C$7,IF(M$7&lt;=5,Assumptions!$C$8,Assumptions!$C$8-((Assumptions!$C$8-Assumptions!$C$18)/5)*(M$7-5)))</f>
        <v>0.049</v>
      </c>
      <c r="N8" s="14" t="n">
        <f aca="false">Assumptions!$C$18</f>
        <v>0.049</v>
      </c>
    </row>
    <row r="9" customFormat="false" ht="15" hidden="false" customHeight="false" outlineLevel="0" collapsed="false">
      <c r="B9" s="13" t="s">
        <v>170</v>
      </c>
      <c r="C9" s="46" t="n">
        <f aca="false">Assumptions!$C$6</f>
        <v>19708</v>
      </c>
      <c r="D9" s="51" t="n">
        <f aca="false">C9*(1+D8)</f>
        <v>98540</v>
      </c>
      <c r="E9" s="51" t="n">
        <f aca="false">D9*(1+E8)</f>
        <v>139926.8</v>
      </c>
      <c r="F9" s="51" t="n">
        <f aca="false">E9*(1+F8)</f>
        <v>198696.056</v>
      </c>
      <c r="G9" s="51" t="n">
        <f aca="false">F9*(1+G8)</f>
        <v>282148.39952</v>
      </c>
      <c r="H9" s="51" t="n">
        <f aca="false">G9*(1+H8)</f>
        <v>400650.7273184</v>
      </c>
      <c r="I9" s="51" t="n">
        <f aca="false">H9*(1+I8)</f>
        <v>539195.748825103</v>
      </c>
      <c r="J9" s="51" t="n">
        <f aca="false">I9*(1+J8)</f>
        <v>685641.314206001</v>
      </c>
      <c r="K9" s="51" t="n">
        <f aca="false">J9*(1+K8)</f>
        <v>820986.909630265</v>
      </c>
      <c r="L9" s="51" t="n">
        <f aca="false">K9*(1+L8)</f>
        <v>922132.496896714</v>
      </c>
      <c r="M9" s="51" t="n">
        <f aca="false">L9*(1+M8)</f>
        <v>967316.989244653</v>
      </c>
      <c r="N9" s="51" t="n">
        <f aca="false">M9*(1+N8)</f>
        <v>1014715.52171764</v>
      </c>
    </row>
    <row r="10" customFormat="false" ht="15" hidden="false" customHeight="false" outlineLevel="0" collapsed="false">
      <c r="B10" s="13" t="s">
        <v>204</v>
      </c>
      <c r="C10" s="14"/>
      <c r="D10" s="14" t="n">
        <f aca="false">IF(D$7=1,Assumptions!$C$9,IF(D$7&gt;Assumptions!$C$15,Assumptions!$C$14,Assumptions!$C$14-((Assumptions!$C$14-Assumptions!$C$9)*(Assumptions!$C$15-D$7)/Assumptions!$C$15)))</f>
        <v>0.05</v>
      </c>
      <c r="E10" s="14" t="n">
        <f aca="false">IF(E$7=1,Assumptions!$C$9,IF(E$7&gt;Assumptions!$C$15,Assumptions!$C$14,Assumptions!$C$14-((Assumptions!$C$14-Assumptions!$C$9)*(Assumptions!$C$15-E$7)/Assumptions!$C$15)))</f>
        <v>0.14</v>
      </c>
      <c r="F10" s="14" t="n">
        <f aca="false">IF(F$7=1,Assumptions!$C$9,IF(F$7&gt;Assumptions!$C$15,Assumptions!$C$14,Assumptions!$C$14-((Assumptions!$C$14-Assumptions!$C$9)*(Assumptions!$C$15-F$7)/Assumptions!$C$15)))</f>
        <v>0.185</v>
      </c>
      <c r="G10" s="14" t="n">
        <f aca="false">IF(G$7=1,Assumptions!$C$9,IF(G$7&gt;Assumptions!$C$15,Assumptions!$C$14,Assumptions!$C$14-((Assumptions!$C$14-Assumptions!$C$9)*(Assumptions!$C$15-G$7)/Assumptions!$C$15)))</f>
        <v>0.23</v>
      </c>
      <c r="H10" s="14" t="n">
        <f aca="false">IF(H$7=1,Assumptions!$C$9,IF(H$7&gt;Assumptions!$C$15,Assumptions!$C$14,Assumptions!$C$14-((Assumptions!$C$14-Assumptions!$C$9)*(Assumptions!$C$15-H$7)/Assumptions!$C$15)))</f>
        <v>0.275</v>
      </c>
      <c r="I10" s="14" t="n">
        <f aca="false">IF(I$7=1,Assumptions!$C$9,IF(I$7&gt;Assumptions!$C$15,Assumptions!$C$14,Assumptions!$C$14-((Assumptions!$C$14-Assumptions!$C$9)*(Assumptions!$C$15-I$7)/Assumptions!$C$15)))</f>
        <v>0.275</v>
      </c>
      <c r="J10" s="14" t="n">
        <f aca="false">IF(J$7=1,Assumptions!$C$9,IF(J$7&gt;Assumptions!$C$15,Assumptions!$C$14,Assumptions!$C$14-((Assumptions!$C$14-Assumptions!$C$9)*(Assumptions!$C$15-J$7)/Assumptions!$C$15)))</f>
        <v>0.275</v>
      </c>
      <c r="K10" s="14" t="n">
        <f aca="false">IF(K$7=1,Assumptions!$C$9,IF(K$7&gt;Assumptions!$C$15,Assumptions!$C$14,Assumptions!$C$14-((Assumptions!$C$14-Assumptions!$C$9)*(Assumptions!$C$15-K$7)/Assumptions!$C$15)))</f>
        <v>0.275</v>
      </c>
      <c r="L10" s="14" t="n">
        <f aca="false">IF(L$7=1,Assumptions!$C$9,IF(L$7&gt;Assumptions!$C$15,Assumptions!$C$14,Assumptions!$C$14-((Assumptions!$C$14-Assumptions!$C$9)*(Assumptions!$C$15-L$7)/Assumptions!$C$15)))</f>
        <v>0.275</v>
      </c>
      <c r="M10" s="14" t="n">
        <f aca="false">IF(M$7=1,Assumptions!$C$9,IF(M$7&gt;Assumptions!$C$15,Assumptions!$C$14,Assumptions!$C$14-((Assumptions!$C$14-Assumptions!$C$9)*(Assumptions!$C$15-M$7)/Assumptions!$C$15)))</f>
        <v>0.275</v>
      </c>
      <c r="N10" s="14" t="n">
        <f aca="false">Assumptions!$C$14</f>
        <v>0.275</v>
      </c>
    </row>
    <row r="11" customFormat="false" ht="15" hidden="false" customHeight="false" outlineLevel="0" collapsed="false">
      <c r="B11" s="13" t="s">
        <v>205</v>
      </c>
      <c r="C11" s="51"/>
      <c r="D11" s="51" t="n">
        <f aca="false">D9*D10</f>
        <v>4927</v>
      </c>
      <c r="E11" s="51" t="n">
        <f aca="false">E9*E10</f>
        <v>19589.752</v>
      </c>
      <c r="F11" s="51" t="n">
        <f aca="false">F9*F10</f>
        <v>36758.77036</v>
      </c>
      <c r="G11" s="51" t="n">
        <f aca="false">G9*G10</f>
        <v>64894.1318896</v>
      </c>
      <c r="H11" s="51" t="n">
        <f aca="false">H9*H10</f>
        <v>110178.95001256</v>
      </c>
      <c r="I11" s="51" t="n">
        <f aca="false">I9*I10</f>
        <v>148278.830926903</v>
      </c>
      <c r="J11" s="51" t="n">
        <f aca="false">J9*J10</f>
        <v>188551.36140665</v>
      </c>
      <c r="K11" s="51" t="n">
        <f aca="false">K9*K10</f>
        <v>225771.400148323</v>
      </c>
      <c r="L11" s="51" t="n">
        <f aca="false">L9*L10</f>
        <v>253586.436646596</v>
      </c>
      <c r="M11" s="51" t="n">
        <f aca="false">M9*M10</f>
        <v>266012.17204228</v>
      </c>
      <c r="N11" s="51" t="n">
        <f aca="false">N9*N10</f>
        <v>279046.768472351</v>
      </c>
    </row>
    <row r="12" customFormat="false" ht="15" hidden="false" customHeight="false" outlineLevel="0" collapsed="false">
      <c r="B12" s="13" t="s">
        <v>206</v>
      </c>
      <c r="C12" s="14"/>
      <c r="D12" s="14" t="n">
        <f aca="false">IF(D$7&lt;=5,0,Assumptions!$C$21*(D$7-5)/5)</f>
        <v>0</v>
      </c>
      <c r="E12" s="14" t="n">
        <f aca="false">IF(E$7&lt;=5,0,Assumptions!$C$21*(E$7-5)/5)</f>
        <v>0</v>
      </c>
      <c r="F12" s="14" t="n">
        <f aca="false">IF(F$7&lt;=5,0,Assumptions!$C$21*(F$7-5)/5)</f>
        <v>0</v>
      </c>
      <c r="G12" s="14" t="n">
        <f aca="false">IF(G$7&lt;=5,0,Assumptions!$C$21*(G$7-5)/5)</f>
        <v>0</v>
      </c>
      <c r="H12" s="14" t="n">
        <f aca="false">IF(H$7&lt;=5,0,Assumptions!$C$21*(H$7-5)/5)</f>
        <v>0</v>
      </c>
      <c r="I12" s="14" t="n">
        <f aca="false">IF(I$7&lt;=5,0,Assumptions!$C$21*(I$7-5)/5)</f>
        <v>0.05</v>
      </c>
      <c r="J12" s="14" t="n">
        <f aca="false">IF(J$7&lt;=5,0,Assumptions!$C$21*(J$7-5)/5)</f>
        <v>0.1</v>
      </c>
      <c r="K12" s="14" t="n">
        <f aca="false">IF(K$7&lt;=5,0,Assumptions!$C$21*(K$7-5)/5)</f>
        <v>0.15</v>
      </c>
      <c r="L12" s="14" t="n">
        <f aca="false">IF(L$7&lt;=5,0,Assumptions!$C$21*(L$7-5)/5)</f>
        <v>0.2</v>
      </c>
      <c r="M12" s="14" t="n">
        <f aca="false">IF(M$7&lt;=5,0,Assumptions!$C$21*(M$7-5)/5)</f>
        <v>0.25</v>
      </c>
      <c r="N12" s="14" t="n">
        <f aca="false">Assumptions!$C$21</f>
        <v>0.25</v>
      </c>
    </row>
    <row r="13" customFormat="false" ht="15" hidden="false" customHeight="false" outlineLevel="0" collapsed="false">
      <c r="B13" s="13" t="s">
        <v>207</v>
      </c>
      <c r="C13" s="51"/>
      <c r="D13" s="51" t="n">
        <f aca="false">IF(D11&gt;0,IF(D11&lt;C14,D11,D11-(D11-C14)*D12),D11)</f>
        <v>4927</v>
      </c>
      <c r="E13" s="51" t="n">
        <f aca="false">IF(E11&gt;0,IF(E11&lt;D14,E11,E11-(E11-D14)*E12),E11)</f>
        <v>19589.752</v>
      </c>
      <c r="F13" s="51" t="n">
        <f aca="false">IF(F11&gt;0,IF(F11&lt;E14,F11,F11-(F11-E14)*F12),F11)</f>
        <v>36758.77036</v>
      </c>
      <c r="G13" s="51" t="n">
        <f aca="false">IF(G11&gt;0,IF(G11&lt;F14,G11,G11-(G11-F14)*G12),G11)</f>
        <v>64894.1318896</v>
      </c>
      <c r="H13" s="51" t="n">
        <f aca="false">IF(H11&gt;0,IF(H11&lt;G14,H11,H11-(H11-G14)*H12),H11)</f>
        <v>110178.95001256</v>
      </c>
      <c r="I13" s="51" t="n">
        <f aca="false">IF(I11&gt;0,IF(I11&lt;H14,I11,I11-(I11-H14)*I12),I11)</f>
        <v>140864.889380558</v>
      </c>
      <c r="J13" s="51" t="n">
        <f aca="false">IF(J11&gt;0,IF(J11&lt;I14,J11,J11-(J11-I14)*J12),J11)</f>
        <v>169696.225265985</v>
      </c>
      <c r="K13" s="51" t="n">
        <f aca="false">IF(K11&gt;0,IF(K11&lt;J14,K11,K11-(K11-J14)*K12),K11)</f>
        <v>191905.690126075</v>
      </c>
      <c r="L13" s="51" t="n">
        <f aca="false">IF(L11&gt;0,IF(L11&lt;K14,L11,L11-(L11-K14)*L12),L11)</f>
        <v>202869.149317277</v>
      </c>
      <c r="M13" s="51" t="n">
        <f aca="false">IF(M11&gt;0,IF(M11&lt;L14,M11,M11-(M11-L14)*M12),M11)</f>
        <v>199509.12903171</v>
      </c>
      <c r="N13" s="51" t="n">
        <f aca="false">N11*(1-N12)</f>
        <v>209285.076354263</v>
      </c>
    </row>
    <row r="14" customFormat="false" ht="15" hidden="false" customHeight="false" outlineLevel="0" collapsed="false">
      <c r="B14" s="13" t="s">
        <v>208</v>
      </c>
      <c r="C14" s="51" t="n">
        <v>0</v>
      </c>
      <c r="D14" s="51" t="n">
        <f aca="false">IF(D11&lt;0,C14-D11,IF(C14&gt;D11,C14-D11,0))</f>
        <v>0</v>
      </c>
      <c r="E14" s="51" t="n">
        <f aca="false">IF(E11&lt;0,D14-E11,IF(D14&gt;E11,D14-E11,0))</f>
        <v>0</v>
      </c>
      <c r="F14" s="51" t="n">
        <f aca="false">IF(F11&lt;0,E14-F11,IF(E14&gt;F11,E14-F11,0))</f>
        <v>0</v>
      </c>
      <c r="G14" s="51" t="n">
        <f aca="false">IF(G11&lt;0,F14-G11,IF(F14&gt;G11,F14-G11,0))</f>
        <v>0</v>
      </c>
      <c r="H14" s="51" t="n">
        <f aca="false">IF(H11&lt;0,G14-H11,IF(G14&gt;H11,G14-H11,0))</f>
        <v>0</v>
      </c>
      <c r="I14" s="51" t="n">
        <f aca="false">IF(I11&lt;0,H14-I11,IF(H14&gt;I11,H14-I11,0))</f>
        <v>0</v>
      </c>
      <c r="J14" s="51" t="n">
        <f aca="false">IF(J11&lt;0,I14-J11,IF(I14&gt;J11,I14-J11,0))</f>
        <v>0</v>
      </c>
      <c r="K14" s="51" t="n">
        <f aca="false">IF(K11&lt;0,J14-K11,IF(J14&gt;K11,J14-K11,0))</f>
        <v>0</v>
      </c>
      <c r="L14" s="51" t="n">
        <f aca="false">IF(L11&lt;0,K14-L11,IF(K14&gt;L11,K14-L11,0))</f>
        <v>0</v>
      </c>
      <c r="M14" s="51" t="n">
        <f aca="false">IF(M11&lt;0,L14-M11,IF(L14&gt;M11,L14-M11,0))</f>
        <v>0</v>
      </c>
      <c r="N14" s="51"/>
    </row>
    <row r="15" customFormat="false" ht="15" hidden="false" customHeight="false" outlineLevel="0" collapsed="false">
      <c r="B15" s="13" t="s">
        <v>209</v>
      </c>
      <c r="C15" s="51"/>
      <c r="D15" s="51" t="n">
        <f aca="false">(E9-D9)/Assumptions!$C$16</f>
        <v>16554.72</v>
      </c>
      <c r="E15" s="51" t="n">
        <f aca="false">(F9-E9)/Assumptions!$C$16</f>
        <v>23507.7024</v>
      </c>
      <c r="F15" s="51" t="n">
        <f aca="false">(G9-F9)/Assumptions!$C$16</f>
        <v>33380.937408</v>
      </c>
      <c r="G15" s="51" t="n">
        <f aca="false">(H9-G9)/Assumptions!$C$16</f>
        <v>47400.93111936</v>
      </c>
      <c r="H15" s="51" t="n">
        <f aca="false">(I9-H9)/Assumptions!$C$16</f>
        <v>55418.0086026811</v>
      </c>
      <c r="I15" s="51" t="n">
        <f aca="false">(J9-I9)/Assumptions!$C$16</f>
        <v>58578.2261523591</v>
      </c>
      <c r="J15" s="51" t="n">
        <f aca="false">(K9-J9)/Assumptions!$C$16</f>
        <v>54138.2381697058</v>
      </c>
      <c r="K15" s="51" t="n">
        <f aca="false">(L9-K9)/Assumptions!$C$16</f>
        <v>40458.2349065795</v>
      </c>
      <c r="L15" s="51" t="n">
        <f aca="false">(M9-L9)/Assumptions!$C$16</f>
        <v>18073.7969391756</v>
      </c>
      <c r="M15" s="51" t="n">
        <f aca="false">(N9-M9)/Assumptions!$C$16</f>
        <v>18959.4129891952</v>
      </c>
      <c r="N15" s="51" t="n">
        <f aca="false">IF(N8&gt;0,(N8/Assumptions!$C$20)*N13,0)</f>
        <v>68366.4582757261</v>
      </c>
    </row>
    <row r="16" customFormat="false" ht="15" hidden="false" customHeight="false" outlineLevel="0" collapsed="false">
      <c r="B16" s="13" t="s">
        <v>210</v>
      </c>
      <c r="C16" s="51"/>
      <c r="D16" s="51" t="n">
        <f aca="false">D13-D15</f>
        <v>-11627.72</v>
      </c>
      <c r="E16" s="51" t="n">
        <f aca="false">E13-E15</f>
        <v>-3917.9504</v>
      </c>
      <c r="F16" s="51" t="n">
        <f aca="false">F13-F15</f>
        <v>3377.83295200001</v>
      </c>
      <c r="G16" s="51" t="n">
        <f aca="false">G13-G15</f>
        <v>17493.20077024</v>
      </c>
      <c r="H16" s="51" t="n">
        <f aca="false">H13-H15</f>
        <v>54760.9414098789</v>
      </c>
      <c r="I16" s="51" t="n">
        <f aca="false">I13-I15</f>
        <v>82286.663228199</v>
      </c>
      <c r="J16" s="51" t="n">
        <f aca="false">J13-J15</f>
        <v>115557.987096279</v>
      </c>
      <c r="K16" s="51" t="n">
        <f aca="false">K13-K15</f>
        <v>151447.455219495</v>
      </c>
      <c r="L16" s="51" t="n">
        <f aca="false">L13-L15</f>
        <v>184795.352378102</v>
      </c>
      <c r="M16" s="51" t="n">
        <f aca="false">M13-M15</f>
        <v>180549.716042515</v>
      </c>
      <c r="N16" s="51" t="n">
        <f aca="false">N13-N15</f>
        <v>140918.618078537</v>
      </c>
    </row>
    <row r="17" customFormat="false" ht="15" hidden="false" customHeight="false" outlineLevel="0" collapsed="false">
      <c r="B17" s="13" t="s">
        <v>211</v>
      </c>
      <c r="C17" s="14"/>
      <c r="D17" s="14" t="n">
        <f aca="false">IF(D$7&lt;=5,Assumptions!$C$17,Assumptions!$C$17-((Assumptions!$C$17-Assumptions!$C$19)/5)*(D$7-5))</f>
        <v>0.0974</v>
      </c>
      <c r="E17" s="14" t="n">
        <f aca="false">IF(E$7&lt;=5,Assumptions!$C$17,Assumptions!$C$17-((Assumptions!$C$17-Assumptions!$C$19)/5)*(E$7-5))</f>
        <v>0.0974</v>
      </c>
      <c r="F17" s="14" t="n">
        <f aca="false">IF(F$7&lt;=5,Assumptions!$C$17,Assumptions!$C$17-((Assumptions!$C$17-Assumptions!$C$19)/5)*(F$7-5))</f>
        <v>0.0974</v>
      </c>
      <c r="G17" s="14" t="n">
        <f aca="false">IF(G$7&lt;=5,Assumptions!$C$17,Assumptions!$C$17-((Assumptions!$C$17-Assumptions!$C$19)/5)*(G$7-5))</f>
        <v>0.0974</v>
      </c>
      <c r="H17" s="14" t="n">
        <f aca="false">IF(H$7&lt;=5,Assumptions!$C$17,Assumptions!$C$17-((Assumptions!$C$17-Assumptions!$C$19)/5)*(H$7-5))</f>
        <v>0.0974</v>
      </c>
      <c r="I17" s="14" t="n">
        <f aca="false">IF(I$7&lt;=5,Assumptions!$C$17,Assumptions!$C$17-((Assumptions!$C$17-Assumptions!$C$19)/5)*(I$7-5))</f>
        <v>0.09618</v>
      </c>
      <c r="J17" s="14" t="n">
        <f aca="false">IF(J$7&lt;=5,Assumptions!$C$17,Assumptions!$C$17-((Assumptions!$C$17-Assumptions!$C$19)/5)*(J$7-5))</f>
        <v>0.09496</v>
      </c>
      <c r="K17" s="14" t="n">
        <f aca="false">IF(K$7&lt;=5,Assumptions!$C$17,Assumptions!$C$17-((Assumptions!$C$17-Assumptions!$C$19)/5)*(K$7-5))</f>
        <v>0.09374</v>
      </c>
      <c r="L17" s="14" t="n">
        <f aca="false">IF(L$7&lt;=5,Assumptions!$C$17,Assumptions!$C$17-((Assumptions!$C$17-Assumptions!$C$19)/5)*(L$7-5))</f>
        <v>0.09252</v>
      </c>
      <c r="M17" s="14" t="n">
        <f aca="false">IF(M$7&lt;=5,Assumptions!$C$17,Assumptions!$C$17-((Assumptions!$C$17-Assumptions!$C$19)/5)*(M$7-5))</f>
        <v>0.0913</v>
      </c>
      <c r="N17" s="14" t="n">
        <f aca="false">Assumptions!$C$19</f>
        <v>0.0913</v>
      </c>
    </row>
    <row r="18" customFormat="false" ht="15" hidden="false" customHeight="false" outlineLevel="0" collapsed="false">
      <c r="B18" s="13" t="s">
        <v>212</v>
      </c>
      <c r="C18" s="52"/>
      <c r="D18" s="52" t="n">
        <f aca="false">1/(1+D17)</f>
        <v>0.911244760342628</v>
      </c>
      <c r="E18" s="52" t="n">
        <f aca="false">D18/(1+E17)</f>
        <v>0.830367013251894</v>
      </c>
      <c r="F18" s="52" t="n">
        <f aca="false">E18/(1+F17)</f>
        <v>0.756667589987146</v>
      </c>
      <c r="G18" s="52" t="n">
        <f aca="false">F18/(1+G17)</f>
        <v>0.689509376696871</v>
      </c>
      <c r="H18" s="52" t="n">
        <f aca="false">G18/(1+H17)</f>
        <v>0.628311806722135</v>
      </c>
      <c r="I18" s="52" t="n">
        <f aca="false">H18/(1+I17)</f>
        <v>0.57318306001034</v>
      </c>
      <c r="J18" s="52" t="n">
        <f aca="false">I18/(1+J17)</f>
        <v>0.523473971661376</v>
      </c>
      <c r="K18" s="52" t="n">
        <f aca="false">J18/(1+K17)</f>
        <v>0.478609149945486</v>
      </c>
      <c r="L18" s="52" t="n">
        <f aca="false">K18/(1+L17)</f>
        <v>0.438078158702345</v>
      </c>
      <c r="M18" s="52" t="n">
        <f aca="false">L18/(1+M17)</f>
        <v>0.401427800515298</v>
      </c>
      <c r="N18" s="52"/>
    </row>
    <row r="19" customFormat="false" ht="15" hidden="false" customHeight="false" outlineLevel="0" collapsed="false">
      <c r="B19" s="13" t="s">
        <v>213</v>
      </c>
      <c r="C19" s="51"/>
      <c r="D19" s="51" t="n">
        <f aca="false">D16*D18</f>
        <v>-10595.6989247312</v>
      </c>
      <c r="E19" s="51" t="n">
        <f aca="false">E16*E18</f>
        <v>-3253.33677171706</v>
      </c>
      <c r="F19" s="51" t="n">
        <f aca="false">F16*F18</f>
        <v>2555.89671916902</v>
      </c>
      <c r="G19" s="51" t="n">
        <f aca="false">G16*G18</f>
        <v>12061.7259595214</v>
      </c>
      <c r="H19" s="51" t="n">
        <f aca="false">H16*H18</f>
        <v>34406.946035046</v>
      </c>
      <c r="I19" s="51" t="n">
        <f aca="false">I16*I18</f>
        <v>47165.3214271795</v>
      </c>
      <c r="J19" s="51" t="n">
        <f aca="false">J16*J18</f>
        <v>60491.5984624834</v>
      </c>
      <c r="K19" s="51" t="n">
        <f aca="false">K16*K18</f>
        <v>72484.1378040096</v>
      </c>
      <c r="L19" s="51" t="n">
        <f aca="false">L16*L18</f>
        <v>80954.8077065498</v>
      </c>
      <c r="M19" s="51" t="n">
        <f aca="false">M16*M18</f>
        <v>72477.6753946083</v>
      </c>
      <c r="N19" s="51"/>
    </row>
    <row r="21" customFormat="false" ht="15" hidden="false" customHeight="false" outlineLevel="0" collapsed="false">
      <c r="B21" s="13" t="s">
        <v>214</v>
      </c>
      <c r="C21" s="51" t="n">
        <f aca="false">N16/(N17-N8)</f>
        <v>3331409.41084013</v>
      </c>
    </row>
    <row r="22" customFormat="false" ht="15" hidden="false" customHeight="false" outlineLevel="0" collapsed="false">
      <c r="B22" s="13" t="s">
        <v>215</v>
      </c>
      <c r="C22" s="51" t="n">
        <f aca="false">C21*M18</f>
        <v>1337320.35240952</v>
      </c>
    </row>
    <row r="23" customFormat="false" ht="15" hidden="false" customHeight="false" outlineLevel="0" collapsed="false">
      <c r="B23" s="13" t="s">
        <v>216</v>
      </c>
      <c r="C23" s="51" t="n">
        <f aca="false">SUM(D19:M19)</f>
        <v>368749.073812119</v>
      </c>
    </row>
    <row r="24" customFormat="false" ht="15" hidden="false" customHeight="false" outlineLevel="0" collapsed="false">
      <c r="B24" s="13" t="s">
        <v>217</v>
      </c>
      <c r="C24" s="51" t="n">
        <f aca="false">C22+C23</f>
        <v>1706069.42622164</v>
      </c>
    </row>
    <row r="25" customFormat="false" ht="15" hidden="false" customHeight="false" outlineLevel="0" collapsed="false">
      <c r="B25" s="13" t="s">
        <v>218</v>
      </c>
      <c r="C25" s="51" t="n">
        <f aca="false">C24*(1-Assumptions!$C$22)+C24*Assumptions!$C$23*Assumptions!$C$22</f>
        <v>1620765.95491056</v>
      </c>
    </row>
    <row r="26" customFormat="false" ht="15" hidden="false" customHeight="false" outlineLevel="0" collapsed="false">
      <c r="B26" s="13" t="s">
        <v>219</v>
      </c>
      <c r="C26" s="51" t="n">
        <f aca="false">-Assumptions!$C$24-Assumptions!$C$25+Assumptions!$C$26+Assumptions!$C$27+Assumptions!$C$28</f>
        <v>-256018</v>
      </c>
    </row>
    <row r="27" customFormat="false" ht="15" hidden="false" customHeight="false" outlineLevel="0" collapsed="false">
      <c r="B27" s="5" t="s">
        <v>220</v>
      </c>
      <c r="C27" s="51" t="n">
        <f aca="false">C25+C26</f>
        <v>1364747.95491056</v>
      </c>
    </row>
    <row r="28" customFormat="false" ht="15" hidden="false" customHeight="false" outlineLevel="0" collapsed="false">
      <c r="B28" s="13" t="s">
        <v>221</v>
      </c>
      <c r="C28" s="51" t="n">
        <f aca="false">Assumptions!$C$30</f>
        <v>472314</v>
      </c>
    </row>
    <row r="29" customFormat="false" ht="15" hidden="false" customHeight="false" outlineLevel="0" collapsed="false">
      <c r="B29" s="5" t="s">
        <v>222</v>
      </c>
      <c r="C29" s="51" t="n">
        <f aca="false">C27-C28</f>
        <v>892433.954910555</v>
      </c>
    </row>
    <row r="30" customFormat="false" ht="15" hidden="false" customHeight="false" outlineLevel="0" collapsed="false">
      <c r="B30" s="13" t="s">
        <v>223</v>
      </c>
      <c r="C30" s="53" t="n">
        <f aca="false">(C29-Assumptions!$C$27)/Assumptions!$C$29</f>
        <v>257.735625743367</v>
      </c>
    </row>
    <row r="31" customFormat="false" ht="15" hidden="false" customHeight="false" outlineLevel="0" collapsed="false">
      <c r="B31" s="13" t="s">
        <v>224</v>
      </c>
      <c r="C31" s="54" t="n">
        <f aca="false">Assumptions!$C$29+Assumptions!$C$27/C30</f>
        <v>3462.59447965945</v>
      </c>
    </row>
    <row r="32" customFormat="false" ht="15" hidden="false" customHeight="false" outlineLevel="0" collapsed="false">
      <c r="B32" s="13" t="s">
        <v>225</v>
      </c>
      <c r="C32" s="14" t="n">
        <f aca="false">Assumptions!$C$31/C30</f>
        <v>2.03697101821211</v>
      </c>
    </row>
    <row r="33" customFormat="false" ht="15" hidden="false" customHeight="false" outlineLevel="0" collapsed="false">
      <c r="B33" s="13" t="s">
        <v>226</v>
      </c>
      <c r="C33" s="55" t="n">
        <f aca="false">M9/1000</f>
        <v>967.316989244653</v>
      </c>
    </row>
    <row r="34" customFormat="false" ht="15" hidden="false" customHeight="false" outlineLevel="0" collapsed="false">
      <c r="B34" s="13" t="s">
        <v>227</v>
      </c>
      <c r="C34" s="14" t="n">
        <f aca="false">M13/(533836+SUM(D15:L15))</f>
        <v>0.226368473801208</v>
      </c>
    </row>
    <row r="41" customFormat="false" ht="15" hidden="false" customHeight="false" outlineLevel="0" collapsed="false">
      <c r="B41" s="56" t="s">
        <v>228</v>
      </c>
      <c r="C41" s="57"/>
      <c r="D41" s="57"/>
      <c r="E41" s="57"/>
      <c r="F41" s="57"/>
      <c r="G41" s="57"/>
      <c r="H41" s="57"/>
      <c r="I41" s="57"/>
      <c r="J41" s="57"/>
      <c r="K41" s="57"/>
      <c r="L41" s="57"/>
      <c r="M41" s="57"/>
      <c r="N41" s="57"/>
    </row>
    <row r="42" customFormat="false" ht="15" hidden="false" customHeight="false" outlineLevel="0" collapsed="false">
      <c r="B42" s="7" t="s">
        <v>68</v>
      </c>
      <c r="C42" s="8" t="s">
        <v>200</v>
      </c>
      <c r="D42" s="8" t="s">
        <v>160</v>
      </c>
      <c r="E42" s="8" t="s">
        <v>161</v>
      </c>
      <c r="F42" s="8" t="s">
        <v>162</v>
      </c>
      <c r="G42" s="8" t="s">
        <v>163</v>
      </c>
      <c r="H42" s="8" t="s">
        <v>164</v>
      </c>
      <c r="I42" s="8" t="s">
        <v>165</v>
      </c>
      <c r="J42" s="8" t="s">
        <v>166</v>
      </c>
      <c r="K42" s="8" t="s">
        <v>167</v>
      </c>
      <c r="L42" s="8" t="s">
        <v>168</v>
      </c>
      <c r="M42" s="8" t="s">
        <v>169</v>
      </c>
      <c r="N42" s="8" t="s">
        <v>201</v>
      </c>
    </row>
    <row r="43" customFormat="false" ht="15" hidden="false" customHeight="false" outlineLevel="0" collapsed="false">
      <c r="B43" s="2" t="s">
        <v>202</v>
      </c>
      <c r="D43" s="2" t="n">
        <v>1</v>
      </c>
      <c r="E43" s="2" t="n">
        <v>2</v>
      </c>
      <c r="F43" s="2" t="n">
        <v>3</v>
      </c>
      <c r="G43" s="2" t="n">
        <v>4</v>
      </c>
      <c r="H43" s="2" t="n">
        <v>5</v>
      </c>
      <c r="I43" s="2" t="n">
        <v>6</v>
      </c>
      <c r="J43" s="2" t="n">
        <v>7</v>
      </c>
      <c r="K43" s="2" t="n">
        <v>8</v>
      </c>
      <c r="L43" s="2" t="n">
        <v>9</v>
      </c>
      <c r="M43" s="2" t="n">
        <v>10</v>
      </c>
    </row>
    <row r="44" customFormat="false" ht="15" hidden="false" customHeight="false" outlineLevel="0" collapsed="false">
      <c r="B44" s="13" t="s">
        <v>203</v>
      </c>
      <c r="C44" s="14"/>
      <c r="D44" s="14" t="n">
        <f aca="false">IF(D$43=1,Assumptions!$D$7,IF(D$43&lt;=5,Assumptions!$D$8,Assumptions!$D$8-((Assumptions!$D$8-Assumptions!$D$18)/5)*(D$43-5)))</f>
        <v>4</v>
      </c>
      <c r="E44" s="14" t="n">
        <f aca="false">IF(E$43=1,Assumptions!$D$7,IF(E$43&lt;=5,Assumptions!$D$8,Assumptions!$D$8-((Assumptions!$D$8-Assumptions!$D$18)/5)*(E$43-5)))</f>
        <v>0.42</v>
      </c>
      <c r="F44" s="14" t="n">
        <f aca="false">IF(F$43=1,Assumptions!$D$7,IF(F$43&lt;=5,Assumptions!$D$8,Assumptions!$D$8-((Assumptions!$D$8-Assumptions!$D$18)/5)*(F$43-5)))</f>
        <v>0.42</v>
      </c>
      <c r="G44" s="14" t="n">
        <f aca="false">IF(G$43=1,Assumptions!$D$7,IF(G$43&lt;=5,Assumptions!$D$8,Assumptions!$D$8-((Assumptions!$D$8-Assumptions!$D$18)/5)*(G$43-5)))</f>
        <v>0.42</v>
      </c>
      <c r="H44" s="14" t="n">
        <f aca="false">IF(H$43=1,Assumptions!$D$7,IF(H$43&lt;=5,Assumptions!$D$8,Assumptions!$D$8-((Assumptions!$D$8-Assumptions!$D$18)/5)*(H$43-5)))</f>
        <v>0.42</v>
      </c>
      <c r="I44" s="14" t="n">
        <f aca="false">IF(I$43=1,Assumptions!$D$7,IF(I$43&lt;=5,Assumptions!$D$8,Assumptions!$D$8-((Assumptions!$D$8-Assumptions!$D$18)/5)*(I$43-5)))</f>
        <v>0.3458</v>
      </c>
      <c r="J44" s="14" t="n">
        <f aca="false">IF(J$43=1,Assumptions!$D$7,IF(J$43&lt;=5,Assumptions!$D$8,Assumptions!$D$8-((Assumptions!$D$8-Assumptions!$D$18)/5)*(J$43-5)))</f>
        <v>0.2716</v>
      </c>
      <c r="K44" s="14" t="n">
        <f aca="false">IF(K$43=1,Assumptions!$D$7,IF(K$43&lt;=5,Assumptions!$D$8,Assumptions!$D$8-((Assumptions!$D$8-Assumptions!$D$18)/5)*(K$43-5)))</f>
        <v>0.1974</v>
      </c>
      <c r="L44" s="14" t="n">
        <f aca="false">IF(L$43=1,Assumptions!$D$7,IF(L$43&lt;=5,Assumptions!$D$8,Assumptions!$D$8-((Assumptions!$D$8-Assumptions!$D$18)/5)*(L$43-5)))</f>
        <v>0.1232</v>
      </c>
      <c r="M44" s="14" t="n">
        <f aca="false">IF(M$43=1,Assumptions!$D$7,IF(M$43&lt;=5,Assumptions!$D$8,Assumptions!$D$8-((Assumptions!$D$8-Assumptions!$D$18)/5)*(M$43-5)))</f>
        <v>0.049</v>
      </c>
      <c r="N44" s="14" t="n">
        <f aca="false">Assumptions!$D$18</f>
        <v>0.049</v>
      </c>
    </row>
    <row r="45" customFormat="false" ht="15" hidden="false" customHeight="false" outlineLevel="0" collapsed="false">
      <c r="B45" s="13" t="s">
        <v>170</v>
      </c>
      <c r="C45" s="46" t="n">
        <f aca="false">Assumptions!$D$6</f>
        <v>20608</v>
      </c>
      <c r="D45" s="51" t="n">
        <f aca="false">C45*(1+D44)</f>
        <v>103040</v>
      </c>
      <c r="E45" s="51" t="n">
        <f aca="false">D45*(1+E44)</f>
        <v>146316.8</v>
      </c>
      <c r="F45" s="51" t="n">
        <f aca="false">E45*(1+F44)</f>
        <v>207769.856</v>
      </c>
      <c r="G45" s="51" t="n">
        <f aca="false">F45*(1+G44)</f>
        <v>295033.19552</v>
      </c>
      <c r="H45" s="51" t="n">
        <f aca="false">G45*(1+H44)</f>
        <v>418947.1376384</v>
      </c>
      <c r="I45" s="51" t="n">
        <f aca="false">H45*(1+I44)</f>
        <v>563819.057833759</v>
      </c>
      <c r="J45" s="51" t="n">
        <f aca="false">I45*(1+J44)</f>
        <v>716952.313941407</v>
      </c>
      <c r="K45" s="51" t="n">
        <f aca="false">J45*(1+K44)</f>
        <v>858478.700713441</v>
      </c>
      <c r="L45" s="51" t="n">
        <f aca="false">K45*(1+L44)</f>
        <v>964243.276641337</v>
      </c>
      <c r="M45" s="51" t="n">
        <f aca="false">L45*(1+M44)</f>
        <v>1011491.19719676</v>
      </c>
      <c r="N45" s="51" t="n">
        <f aca="false">M45*(1+N44)</f>
        <v>1061054.2658594</v>
      </c>
    </row>
    <row r="46" customFormat="false" ht="15" hidden="false" customHeight="false" outlineLevel="0" collapsed="false">
      <c r="B46" s="13" t="s">
        <v>204</v>
      </c>
      <c r="C46" s="14"/>
      <c r="D46" s="14" t="n">
        <f aca="false">IF(D$43=1,Assumptions!$D$9,IF(D$43&gt;Assumptions!$D$15,Assumptions!$D$14,Assumptions!$D$14-((Assumptions!$D$14-Assumptions!$D$9)*(Assumptions!$D$15-D$43)/Assumptions!$D$15)))</f>
        <v>0.05</v>
      </c>
      <c r="E46" s="14" t="n">
        <f aca="false">IF(E$43=1,Assumptions!$D$9,IF(E$43&gt;Assumptions!$D$15,Assumptions!$D$14,Assumptions!$D$14-((Assumptions!$D$14-Assumptions!$D$9)*(Assumptions!$D$15-E$43)/Assumptions!$D$15)))</f>
        <v>0.14</v>
      </c>
      <c r="F46" s="14" t="n">
        <f aca="false">IF(F$43=1,Assumptions!$D$9,IF(F$43&gt;Assumptions!$D$15,Assumptions!$D$14,Assumptions!$D$14-((Assumptions!$D$14-Assumptions!$D$9)*(Assumptions!$D$15-F$43)/Assumptions!$D$15)))</f>
        <v>0.185</v>
      </c>
      <c r="G46" s="14" t="n">
        <f aca="false">IF(G$43=1,Assumptions!$D$9,IF(G$43&gt;Assumptions!$D$15,Assumptions!$D$14,Assumptions!$D$14-((Assumptions!$D$14-Assumptions!$D$9)*(Assumptions!$D$15-G$43)/Assumptions!$D$15)))</f>
        <v>0.23</v>
      </c>
      <c r="H46" s="14" t="n">
        <f aca="false">IF(H$43=1,Assumptions!$D$9,IF(H$43&gt;Assumptions!$D$15,Assumptions!$D$14,Assumptions!$D$14-((Assumptions!$D$14-Assumptions!$D$9)*(Assumptions!$D$15-H$43)/Assumptions!$D$15)))</f>
        <v>0.275</v>
      </c>
      <c r="I46" s="14" t="n">
        <f aca="false">IF(I$43=1,Assumptions!$D$9,IF(I$43&gt;Assumptions!$D$15,Assumptions!$D$14,Assumptions!$D$14-((Assumptions!$D$14-Assumptions!$D$9)*(Assumptions!$D$15-I$43)/Assumptions!$D$15)))</f>
        <v>0.275</v>
      </c>
      <c r="J46" s="14" t="n">
        <f aca="false">IF(J$43=1,Assumptions!$D$9,IF(J$43&gt;Assumptions!$D$15,Assumptions!$D$14,Assumptions!$D$14-((Assumptions!$D$14-Assumptions!$D$9)*(Assumptions!$D$15-J$43)/Assumptions!$D$15)))</f>
        <v>0.275</v>
      </c>
      <c r="K46" s="14" t="n">
        <f aca="false">IF(K$43=1,Assumptions!$D$9,IF(K$43&gt;Assumptions!$D$15,Assumptions!$D$14,Assumptions!$D$14-((Assumptions!$D$14-Assumptions!$D$9)*(Assumptions!$D$15-K$43)/Assumptions!$D$15)))</f>
        <v>0.275</v>
      </c>
      <c r="L46" s="14" t="n">
        <f aca="false">IF(L$43=1,Assumptions!$D$9,IF(L$43&gt;Assumptions!$D$15,Assumptions!$D$14,Assumptions!$D$14-((Assumptions!$D$14-Assumptions!$D$9)*(Assumptions!$D$15-L$43)/Assumptions!$D$15)))</f>
        <v>0.275</v>
      </c>
      <c r="M46" s="14" t="n">
        <f aca="false">IF(M$43=1,Assumptions!$D$9,IF(M$43&gt;Assumptions!$D$15,Assumptions!$D$14,Assumptions!$D$14-((Assumptions!$D$14-Assumptions!$D$9)*(Assumptions!$D$15-M$43)/Assumptions!$D$15)))</f>
        <v>0.275</v>
      </c>
      <c r="N46" s="14" t="n">
        <f aca="false">Assumptions!$D$14</f>
        <v>0.275</v>
      </c>
    </row>
    <row r="47" customFormat="false" ht="15" hidden="false" customHeight="false" outlineLevel="0" collapsed="false">
      <c r="B47" s="13" t="s">
        <v>205</v>
      </c>
      <c r="C47" s="51"/>
      <c r="D47" s="51" t="n">
        <f aca="false">D45*D46</f>
        <v>5152</v>
      </c>
      <c r="E47" s="51" t="n">
        <f aca="false">E45*E46</f>
        <v>20484.352</v>
      </c>
      <c r="F47" s="51" t="n">
        <f aca="false">F45*F46</f>
        <v>38437.42336</v>
      </c>
      <c r="G47" s="51" t="n">
        <f aca="false">G45*G46</f>
        <v>67857.6349696</v>
      </c>
      <c r="H47" s="51" t="n">
        <f aca="false">H45*H46</f>
        <v>115210.46285056</v>
      </c>
      <c r="I47" s="51" t="n">
        <f aca="false">I45*I46</f>
        <v>155050.240904284</v>
      </c>
      <c r="J47" s="51" t="n">
        <f aca="false">J45*J46</f>
        <v>197161.886333887</v>
      </c>
      <c r="K47" s="51" t="n">
        <f aca="false">K45*K46</f>
        <v>236081.642696196</v>
      </c>
      <c r="L47" s="51" t="n">
        <f aca="false">L45*L46</f>
        <v>265166.901076368</v>
      </c>
      <c r="M47" s="51" t="n">
        <f aca="false">M45*M46</f>
        <v>278160.07922911</v>
      </c>
      <c r="N47" s="51" t="n">
        <f aca="false">N45*N46</f>
        <v>291789.923111336</v>
      </c>
    </row>
    <row r="48" customFormat="false" ht="15" hidden="false" customHeight="false" outlineLevel="0" collapsed="false">
      <c r="B48" s="13" t="s">
        <v>206</v>
      </c>
      <c r="C48" s="14"/>
      <c r="D48" s="14" t="n">
        <f aca="false">IF(D$43&lt;=5,0,Assumptions!$D$21*(D$43-5)/5)</f>
        <v>0</v>
      </c>
      <c r="E48" s="14" t="n">
        <f aca="false">IF(E$43&lt;=5,0,Assumptions!$D$21*(E$43-5)/5)</f>
        <v>0</v>
      </c>
      <c r="F48" s="14" t="n">
        <f aca="false">IF(F$43&lt;=5,0,Assumptions!$D$21*(F$43-5)/5)</f>
        <v>0</v>
      </c>
      <c r="G48" s="14" t="n">
        <f aca="false">IF(G$43&lt;=5,0,Assumptions!$D$21*(G$43-5)/5)</f>
        <v>0</v>
      </c>
      <c r="H48" s="14" t="n">
        <f aca="false">IF(H$43&lt;=5,0,Assumptions!$D$21*(H$43-5)/5)</f>
        <v>0</v>
      </c>
      <c r="I48" s="14" t="n">
        <f aca="false">IF(I$43&lt;=5,0,Assumptions!$D$21*(I$43-5)/5)</f>
        <v>0.05</v>
      </c>
      <c r="J48" s="14" t="n">
        <f aca="false">IF(J$43&lt;=5,0,Assumptions!$D$21*(J$43-5)/5)</f>
        <v>0.1</v>
      </c>
      <c r="K48" s="14" t="n">
        <f aca="false">IF(K$43&lt;=5,0,Assumptions!$D$21*(K$43-5)/5)</f>
        <v>0.15</v>
      </c>
      <c r="L48" s="14" t="n">
        <f aca="false">IF(L$43&lt;=5,0,Assumptions!$D$21*(L$43-5)/5)</f>
        <v>0.2</v>
      </c>
      <c r="M48" s="14" t="n">
        <f aca="false">IF(M$43&lt;=5,0,Assumptions!$D$21*(M$43-5)/5)</f>
        <v>0.25</v>
      </c>
      <c r="N48" s="14" t="n">
        <f aca="false">Assumptions!$D$21</f>
        <v>0.25</v>
      </c>
    </row>
    <row r="49" customFormat="false" ht="15" hidden="false" customHeight="false" outlineLevel="0" collapsed="false">
      <c r="B49" s="13" t="s">
        <v>207</v>
      </c>
      <c r="C49" s="51"/>
      <c r="D49" s="51" t="n">
        <f aca="false">IF(D47&gt;0,IF(D47&lt;C50,D47,D47-(D47-C50)*D48),D47)</f>
        <v>5152</v>
      </c>
      <c r="E49" s="51" t="n">
        <f aca="false">IF(E47&gt;0,IF(E47&lt;D50,E47,E47-(E47-D50)*E48),E47)</f>
        <v>20484.352</v>
      </c>
      <c r="F49" s="51" t="n">
        <f aca="false">IF(F47&gt;0,IF(F47&lt;E50,F47,F47-(F47-E50)*F48),F47)</f>
        <v>38437.42336</v>
      </c>
      <c r="G49" s="51" t="n">
        <f aca="false">IF(G47&gt;0,IF(G47&lt;F50,G47,G47-(G47-F50)*G48),G47)</f>
        <v>67857.6349696</v>
      </c>
      <c r="H49" s="51" t="n">
        <f aca="false">IF(H47&gt;0,IF(H47&lt;G50,H47,H47-(H47-G50)*H48),H47)</f>
        <v>115210.46285056</v>
      </c>
      <c r="I49" s="51" t="n">
        <f aca="false">IF(I47&gt;0,IF(I47&lt;H50,I47,I47-(I47-H50)*I48),I47)</f>
        <v>147297.72885907</v>
      </c>
      <c r="J49" s="51" t="n">
        <f aca="false">IF(J47&gt;0,IF(J47&lt;I50,J47,J47-(J47-I50)*J48),J47)</f>
        <v>177445.697700498</v>
      </c>
      <c r="K49" s="51" t="n">
        <f aca="false">IF(K47&gt;0,IF(K47&lt;J50,K47,K47-(K47-J50)*K48),K47)</f>
        <v>200669.396291767</v>
      </c>
      <c r="L49" s="51" t="n">
        <f aca="false">IF(L47&gt;0,IF(L47&lt;K50,L47,L47-(L47-K50)*L48),L47)</f>
        <v>212133.520861094</v>
      </c>
      <c r="M49" s="51" t="n">
        <f aca="false">IF(M47&gt;0,IF(M47&lt;L50,M47,M47-(M47-L50)*M48),M47)</f>
        <v>208620.059421832</v>
      </c>
      <c r="N49" s="51" t="n">
        <f aca="false">N47*(1-N48)</f>
        <v>218842.442333502</v>
      </c>
    </row>
    <row r="50" customFormat="false" ht="15" hidden="false" customHeight="false" outlineLevel="0" collapsed="false">
      <c r="B50" s="13" t="s">
        <v>208</v>
      </c>
      <c r="C50" s="51" t="n">
        <v>0</v>
      </c>
      <c r="D50" s="51" t="n">
        <f aca="false">IF(D47&lt;0,C50-D47,IF(C50&gt;D47,C50-D47,0))</f>
        <v>0</v>
      </c>
      <c r="E50" s="51" t="n">
        <f aca="false">IF(E47&lt;0,D50-E47,IF(D50&gt;E47,D50-E47,0))</f>
        <v>0</v>
      </c>
      <c r="F50" s="51" t="n">
        <f aca="false">IF(F47&lt;0,E50-F47,IF(E50&gt;F47,E50-F47,0))</f>
        <v>0</v>
      </c>
      <c r="G50" s="51" t="n">
        <f aca="false">IF(G47&lt;0,F50-G47,IF(F50&gt;G47,F50-G47,0))</f>
        <v>0</v>
      </c>
      <c r="H50" s="51" t="n">
        <f aca="false">IF(H47&lt;0,G50-H47,IF(G50&gt;H47,G50-H47,0))</f>
        <v>0</v>
      </c>
      <c r="I50" s="51" t="n">
        <f aca="false">IF(I47&lt;0,H50-I47,IF(H50&gt;I47,H50-I47,0))</f>
        <v>0</v>
      </c>
      <c r="J50" s="51" t="n">
        <f aca="false">IF(J47&lt;0,I50-J47,IF(I50&gt;J47,I50-J47,0))</f>
        <v>0</v>
      </c>
      <c r="K50" s="51" t="n">
        <f aca="false">IF(K47&lt;0,J50-K47,IF(J50&gt;K47,J50-K47,0))</f>
        <v>0</v>
      </c>
      <c r="L50" s="51" t="n">
        <f aca="false">IF(L47&lt;0,K50-L47,IF(K50&gt;L47,K50-L47,0))</f>
        <v>0</v>
      </c>
      <c r="M50" s="51" t="n">
        <f aca="false">IF(M47&lt;0,L50-M47,IF(L50&gt;M47,L50-M47,0))</f>
        <v>0</v>
      </c>
      <c r="N50" s="51"/>
    </row>
    <row r="51" customFormat="false" ht="15" hidden="false" customHeight="false" outlineLevel="0" collapsed="false">
      <c r="B51" s="13" t="s">
        <v>209</v>
      </c>
      <c r="C51" s="51"/>
      <c r="D51" s="51" t="n">
        <f aca="false">(E45-D45)/Assumptions!$D$16</f>
        <v>14425.6</v>
      </c>
      <c r="E51" s="51" t="n">
        <f aca="false">(F45-E45)/Assumptions!$D$16</f>
        <v>20484.352</v>
      </c>
      <c r="F51" s="51" t="n">
        <f aca="false">(G45-F45)/Assumptions!$D$16</f>
        <v>29087.77984</v>
      </c>
      <c r="G51" s="51" t="n">
        <f aca="false">(H45-G45)/Assumptions!$D$16</f>
        <v>41304.6473728</v>
      </c>
      <c r="H51" s="51" t="n">
        <f aca="false">(I45-H45)/Assumptions!$D$16</f>
        <v>48290.6400651196</v>
      </c>
      <c r="I51" s="51" t="n">
        <f aca="false">(J45-I45)/Assumptions!$D$16</f>
        <v>51044.4187025496</v>
      </c>
      <c r="J51" s="51" t="n">
        <f aca="false">(K45-J45)/Assumptions!$D$16</f>
        <v>47175.4622573446</v>
      </c>
      <c r="K51" s="51" t="n">
        <f aca="false">(L45-K45)/Assumptions!$D$16</f>
        <v>35254.858642632</v>
      </c>
      <c r="L51" s="51" t="n">
        <f aca="false">(M45-L45)/Assumptions!$D$16</f>
        <v>15749.3068518085</v>
      </c>
      <c r="M51" s="51" t="n">
        <f aca="false">(N45-M45)/Assumptions!$D$16</f>
        <v>16521.0228875471</v>
      </c>
      <c r="N51" s="51" t="n">
        <f aca="false">IF(N44&gt;0,(N44/Assumptions!$D$20)*N49,0)</f>
        <v>71488.5311622774</v>
      </c>
    </row>
    <row r="52" customFormat="false" ht="15" hidden="false" customHeight="false" outlineLevel="0" collapsed="false">
      <c r="B52" s="13" t="s">
        <v>210</v>
      </c>
      <c r="C52" s="51"/>
      <c r="D52" s="51" t="n">
        <f aca="false">D49-D51</f>
        <v>-9273.6</v>
      </c>
      <c r="E52" s="51" t="n">
        <f aca="false">E49-E51</f>
        <v>0</v>
      </c>
      <c r="F52" s="51" t="n">
        <f aca="false">F49-F51</f>
        <v>9349.64352000002</v>
      </c>
      <c r="G52" s="51" t="n">
        <f aca="false">G49-G51</f>
        <v>26552.9875968</v>
      </c>
      <c r="H52" s="51" t="n">
        <f aca="false">H49-H51</f>
        <v>66919.8227854404</v>
      </c>
      <c r="I52" s="51" t="n">
        <f aca="false">I49-I51</f>
        <v>96253.3101565199</v>
      </c>
      <c r="J52" s="51" t="n">
        <f aca="false">J49-J51</f>
        <v>130270.235443154</v>
      </c>
      <c r="K52" s="51" t="n">
        <f aca="false">K49-K51</f>
        <v>165414.537649135</v>
      </c>
      <c r="L52" s="51" t="n">
        <f aca="false">L49-L51</f>
        <v>196384.214009286</v>
      </c>
      <c r="M52" s="51" t="n">
        <f aca="false">M49-M51</f>
        <v>192099.036534285</v>
      </c>
      <c r="N52" s="51" t="n">
        <f aca="false">N49-N51</f>
        <v>147353.911171225</v>
      </c>
    </row>
    <row r="53" customFormat="false" ht="15" hidden="false" customHeight="false" outlineLevel="0" collapsed="false">
      <c r="B53" s="13" t="s">
        <v>211</v>
      </c>
      <c r="C53" s="14"/>
      <c r="D53" s="14" t="n">
        <f aca="false">IF(D$43&lt;=5,Assumptions!$D$17,Assumptions!$D$17-((Assumptions!$D$17-Assumptions!$D$19)/5)*(D$43-5))</f>
        <v>0.0974</v>
      </c>
      <c r="E53" s="14" t="n">
        <f aca="false">IF(E$43&lt;=5,Assumptions!$D$17,Assumptions!$D$17-((Assumptions!$D$17-Assumptions!$D$19)/5)*(E$43-5))</f>
        <v>0.0974</v>
      </c>
      <c r="F53" s="14" t="n">
        <f aca="false">IF(F$43&lt;=5,Assumptions!$D$17,Assumptions!$D$17-((Assumptions!$D$17-Assumptions!$D$19)/5)*(F$43-5))</f>
        <v>0.0974</v>
      </c>
      <c r="G53" s="14" t="n">
        <f aca="false">IF(G$43&lt;=5,Assumptions!$D$17,Assumptions!$D$17-((Assumptions!$D$17-Assumptions!$D$19)/5)*(G$43-5))</f>
        <v>0.0974</v>
      </c>
      <c r="H53" s="14" t="n">
        <f aca="false">IF(H$43&lt;=5,Assumptions!$D$17,Assumptions!$D$17-((Assumptions!$D$17-Assumptions!$D$19)/5)*(H$43-5))</f>
        <v>0.0974</v>
      </c>
      <c r="I53" s="14" t="n">
        <f aca="false">IF(I$43&lt;=5,Assumptions!$D$17,Assumptions!$D$17-((Assumptions!$D$17-Assumptions!$D$19)/5)*(I$43-5))</f>
        <v>0.09618</v>
      </c>
      <c r="J53" s="14" t="n">
        <f aca="false">IF(J$43&lt;=5,Assumptions!$D$17,Assumptions!$D$17-((Assumptions!$D$17-Assumptions!$D$19)/5)*(J$43-5))</f>
        <v>0.09496</v>
      </c>
      <c r="K53" s="14" t="n">
        <f aca="false">IF(K$43&lt;=5,Assumptions!$D$17,Assumptions!$D$17-((Assumptions!$D$17-Assumptions!$D$19)/5)*(K$43-5))</f>
        <v>0.09374</v>
      </c>
      <c r="L53" s="14" t="n">
        <f aca="false">IF(L$43&lt;=5,Assumptions!$D$17,Assumptions!$D$17-((Assumptions!$D$17-Assumptions!$D$19)/5)*(L$43-5))</f>
        <v>0.09252</v>
      </c>
      <c r="M53" s="14" t="n">
        <f aca="false">IF(M$43&lt;=5,Assumptions!$D$17,Assumptions!$D$17-((Assumptions!$D$17-Assumptions!$D$19)/5)*(M$43-5))</f>
        <v>0.0913</v>
      </c>
      <c r="N53" s="14" t="n">
        <f aca="false">Assumptions!$D$19</f>
        <v>0.0913</v>
      </c>
    </row>
    <row r="54" customFormat="false" ht="15" hidden="false" customHeight="false" outlineLevel="0" collapsed="false">
      <c r="B54" s="13" t="s">
        <v>212</v>
      </c>
      <c r="C54" s="52"/>
      <c r="D54" s="52" t="n">
        <f aca="false">1/(1+D53)</f>
        <v>0.911244760342628</v>
      </c>
      <c r="E54" s="52" t="n">
        <f aca="false">D54/(1+E53)</f>
        <v>0.830367013251894</v>
      </c>
      <c r="F54" s="52" t="n">
        <f aca="false">E54/(1+F53)</f>
        <v>0.756667589987146</v>
      </c>
      <c r="G54" s="52" t="n">
        <f aca="false">F54/(1+G53)</f>
        <v>0.689509376696871</v>
      </c>
      <c r="H54" s="52" t="n">
        <f aca="false">G54/(1+H53)</f>
        <v>0.628311806722135</v>
      </c>
      <c r="I54" s="52" t="n">
        <f aca="false">H54/(1+I53)</f>
        <v>0.57318306001034</v>
      </c>
      <c r="J54" s="52" t="n">
        <f aca="false">I54/(1+J53)</f>
        <v>0.523473971661376</v>
      </c>
      <c r="K54" s="52" t="n">
        <f aca="false">J54/(1+K53)</f>
        <v>0.478609149945486</v>
      </c>
      <c r="L54" s="52" t="n">
        <f aca="false">K54/(1+L53)</f>
        <v>0.438078158702345</v>
      </c>
      <c r="M54" s="52" t="n">
        <f aca="false">L54/(1+M53)</f>
        <v>0.401427800515298</v>
      </c>
      <c r="N54" s="52"/>
    </row>
    <row r="55" customFormat="false" ht="15" hidden="false" customHeight="false" outlineLevel="0" collapsed="false">
      <c r="B55" s="13" t="s">
        <v>213</v>
      </c>
      <c r="C55" s="51"/>
      <c r="D55" s="51" t="n">
        <f aca="false">D52*D54</f>
        <v>-8450.51940951339</v>
      </c>
      <c r="E55" s="51" t="n">
        <f aca="false">E52*E54</f>
        <v>0</v>
      </c>
      <c r="F55" s="51" t="n">
        <f aca="false">F52*F54</f>
        <v>7074.57222951735</v>
      </c>
      <c r="G55" s="51" t="n">
        <f aca="false">G52*G54</f>
        <v>18308.5339273093</v>
      </c>
      <c r="H55" s="51" t="n">
        <f aca="false">H52*H54</f>
        <v>42046.5147598452</v>
      </c>
      <c r="I55" s="51" t="n">
        <f aca="false">I52*I54</f>
        <v>55170.7668516385</v>
      </c>
      <c r="J55" s="51" t="n">
        <f aca="false">J52*J54</f>
        <v>68193.0775366903</v>
      </c>
      <c r="K55" s="51" t="n">
        <f aca="false">K52*K54</f>
        <v>79168.9112528781</v>
      </c>
      <c r="L55" s="51" t="n">
        <f aca="false">L52*L54</f>
        <v>86031.6348713952</v>
      </c>
      <c r="M55" s="51" t="n">
        <f aca="false">M52*M54</f>
        <v>77113.8937170661</v>
      </c>
      <c r="N55" s="51"/>
    </row>
    <row r="57" customFormat="false" ht="15" hidden="false" customHeight="false" outlineLevel="0" collapsed="false">
      <c r="B57" s="13" t="s">
        <v>214</v>
      </c>
      <c r="C57" s="51" t="n">
        <f aca="false">N52/(N53-N44)</f>
        <v>3483543.99931973</v>
      </c>
    </row>
    <row r="58" customFormat="false" ht="15" hidden="false" customHeight="false" outlineLevel="0" collapsed="false">
      <c r="B58" s="13" t="s">
        <v>215</v>
      </c>
      <c r="C58" s="51" t="n">
        <f aca="false">C57*M54</f>
        <v>1398391.40564519</v>
      </c>
    </row>
    <row r="59" customFormat="false" ht="15" hidden="false" customHeight="false" outlineLevel="0" collapsed="false">
      <c r="B59" s="13" t="s">
        <v>216</v>
      </c>
      <c r="C59" s="51" t="n">
        <f aca="false">SUM(D55:M55)</f>
        <v>424657.385736827</v>
      </c>
    </row>
    <row r="60" customFormat="false" ht="15" hidden="false" customHeight="false" outlineLevel="0" collapsed="false">
      <c r="B60" s="13" t="s">
        <v>217</v>
      </c>
      <c r="C60" s="51" t="n">
        <f aca="false">C58+C59</f>
        <v>1823048.79138201</v>
      </c>
    </row>
    <row r="61" customFormat="false" ht="15" hidden="false" customHeight="false" outlineLevel="0" collapsed="false">
      <c r="B61" s="13" t="s">
        <v>218</v>
      </c>
      <c r="C61" s="51" t="n">
        <f aca="false">C60*(1-Assumptions!$D$22)+C60*Assumptions!$D$23*Assumptions!$D$22</f>
        <v>1731896.35181291</v>
      </c>
    </row>
    <row r="62" customFormat="false" ht="15" hidden="false" customHeight="false" outlineLevel="0" collapsed="false">
      <c r="B62" s="13" t="s">
        <v>219</v>
      </c>
      <c r="C62" s="51" t="n">
        <f aca="false">-Assumptions!$D$24-Assumptions!$D$25+Assumptions!$D$26+Assumptions!$D$27+Assumptions!$D$28</f>
        <v>-256018</v>
      </c>
    </row>
    <row r="63" customFormat="false" ht="15" hidden="false" customHeight="false" outlineLevel="0" collapsed="false">
      <c r="B63" s="5" t="s">
        <v>220</v>
      </c>
      <c r="C63" s="51" t="n">
        <f aca="false">C61+C62</f>
        <v>1475878.35181291</v>
      </c>
    </row>
    <row r="64" customFormat="false" ht="15" hidden="false" customHeight="false" outlineLevel="0" collapsed="false">
      <c r="B64" s="13" t="s">
        <v>221</v>
      </c>
      <c r="C64" s="51" t="n">
        <f aca="false">Assumptions!$D$30</f>
        <v>472</v>
      </c>
    </row>
    <row r="65" customFormat="false" ht="15" hidden="false" customHeight="false" outlineLevel="0" collapsed="false">
      <c r="B65" s="5" t="s">
        <v>222</v>
      </c>
      <c r="C65" s="51" t="n">
        <f aca="false">C63-C64</f>
        <v>1475406.35181291</v>
      </c>
    </row>
    <row r="66" customFormat="false" ht="15" hidden="false" customHeight="false" outlineLevel="0" collapsed="false">
      <c r="B66" s="13" t="s">
        <v>223</v>
      </c>
      <c r="C66" s="53" t="n">
        <f aca="false">(C65-Assumptions!$D$27)/Assumptions!$D$29</f>
        <v>447.344809670498</v>
      </c>
    </row>
    <row r="67" customFormat="false" ht="15" hidden="false" customHeight="false" outlineLevel="0" collapsed="false">
      <c r="B67" s="13" t="s">
        <v>224</v>
      </c>
      <c r="C67" s="54" t="n">
        <f aca="false">Assumptions!$D$29+Assumptions!$D$27/C66</f>
        <v>3298.14120990843</v>
      </c>
    </row>
    <row r="68" customFormat="false" ht="15" hidden="false" customHeight="false" outlineLevel="0" collapsed="false">
      <c r="B68" s="13" t="s">
        <v>225</v>
      </c>
      <c r="C68" s="14" t="n">
        <f aca="false">Assumptions!$D$31/C66</f>
        <v>1.17359135201926</v>
      </c>
    </row>
    <row r="69" customFormat="false" ht="15" hidden="false" customHeight="false" outlineLevel="0" collapsed="false">
      <c r="B69" s="13" t="s">
        <v>226</v>
      </c>
      <c r="C69" s="55" t="n">
        <f aca="false">M45/1000</f>
        <v>1011.49119719676</v>
      </c>
    </row>
    <row r="70" customFormat="false" ht="15" hidden="false" customHeight="false" outlineLevel="0" collapsed="false">
      <c r="B70" s="13" t="s">
        <v>227</v>
      </c>
      <c r="C70" s="14" t="n">
        <f aca="false">M49/(533836+SUM(D51:L51))</f>
        <v>0.249350738037689</v>
      </c>
    </row>
    <row r="77" customFormat="false" ht="15" hidden="false" customHeight="false" outlineLevel="0" collapsed="false">
      <c r="B77" s="56" t="s">
        <v>229</v>
      </c>
      <c r="C77" s="57"/>
      <c r="D77" s="57"/>
      <c r="E77" s="57"/>
      <c r="F77" s="57"/>
      <c r="G77" s="57"/>
      <c r="H77" s="57"/>
      <c r="I77" s="57"/>
      <c r="J77" s="57"/>
      <c r="K77" s="57"/>
      <c r="L77" s="57"/>
      <c r="M77" s="57"/>
      <c r="N77" s="57"/>
    </row>
    <row r="78" customFormat="false" ht="15" hidden="false" customHeight="false" outlineLevel="0" collapsed="false">
      <c r="B78" s="7" t="s">
        <v>68</v>
      </c>
      <c r="C78" s="8" t="s">
        <v>200</v>
      </c>
      <c r="D78" s="8" t="s">
        <v>160</v>
      </c>
      <c r="E78" s="8" t="s">
        <v>161</v>
      </c>
      <c r="F78" s="8" t="s">
        <v>162</v>
      </c>
      <c r="G78" s="8" t="s">
        <v>163</v>
      </c>
      <c r="H78" s="8" t="s">
        <v>164</v>
      </c>
      <c r="I78" s="8" t="s">
        <v>165</v>
      </c>
      <c r="J78" s="8" t="s">
        <v>166</v>
      </c>
      <c r="K78" s="8" t="s">
        <v>167</v>
      </c>
      <c r="L78" s="8" t="s">
        <v>168</v>
      </c>
      <c r="M78" s="8" t="s">
        <v>169</v>
      </c>
      <c r="N78" s="8" t="s">
        <v>201</v>
      </c>
    </row>
    <row r="79" customFormat="false" ht="15" hidden="false" customHeight="false" outlineLevel="0" collapsed="false">
      <c r="B79" s="2" t="s">
        <v>202</v>
      </c>
      <c r="D79" s="2" t="n">
        <v>1</v>
      </c>
      <c r="E79" s="2" t="n">
        <v>2</v>
      </c>
      <c r="F79" s="2" t="n">
        <v>3</v>
      </c>
      <c r="G79" s="2" t="n">
        <v>4</v>
      </c>
      <c r="H79" s="2" t="n">
        <v>5</v>
      </c>
      <c r="I79" s="2" t="n">
        <v>6</v>
      </c>
      <c r="J79" s="2" t="n">
        <v>7</v>
      </c>
      <c r="K79" s="2" t="n">
        <v>8</v>
      </c>
      <c r="L79" s="2" t="n">
        <v>9</v>
      </c>
      <c r="M79" s="2" t="n">
        <v>10</v>
      </c>
    </row>
    <row r="80" customFormat="false" ht="15" hidden="false" customHeight="false" outlineLevel="0" collapsed="false">
      <c r="B80" s="13" t="s">
        <v>203</v>
      </c>
      <c r="C80" s="14"/>
      <c r="D80" s="14" t="n">
        <f aca="false">IF(D$79=1,Assumptions!$H$7,IF(D$79&lt;=5,Assumptions!$H$8,Assumptions!$H$8-((Assumptions!$H$8-Assumptions!$H$18)/5)*(D$79-5)))</f>
        <v>4</v>
      </c>
      <c r="E80" s="14" t="n">
        <f aca="false">IF(E$79=1,Assumptions!$H$7,IF(E$79&lt;=5,Assumptions!$H$8,Assumptions!$H$8-((Assumptions!$H$8-Assumptions!$H$18)/5)*(E$79-5)))</f>
        <v>0.42</v>
      </c>
      <c r="F80" s="14" t="n">
        <f aca="false">IF(F$79=1,Assumptions!$H$7,IF(F$79&lt;=5,Assumptions!$H$8,Assumptions!$H$8-((Assumptions!$H$8-Assumptions!$H$18)/5)*(F$79-5)))</f>
        <v>0.42</v>
      </c>
      <c r="G80" s="14" t="n">
        <f aca="false">IF(G$79=1,Assumptions!$H$7,IF(G$79&lt;=5,Assumptions!$H$8,Assumptions!$H$8-((Assumptions!$H$8-Assumptions!$H$18)/5)*(G$79-5)))</f>
        <v>0.42</v>
      </c>
      <c r="H80" s="14" t="n">
        <f aca="false">IF(H$79=1,Assumptions!$H$7,IF(H$79&lt;=5,Assumptions!$H$8,Assumptions!$H$8-((Assumptions!$H$8-Assumptions!$H$18)/5)*(H$79-5)))</f>
        <v>0.42</v>
      </c>
      <c r="I80" s="14" t="n">
        <f aca="false">IF(I$79=1,Assumptions!$H$7,IF(I$79&lt;=5,Assumptions!$H$8,Assumptions!$H$8-((Assumptions!$H$8-Assumptions!$H$18)/5)*(I$79-5)))</f>
        <v>0.3458</v>
      </c>
      <c r="J80" s="14" t="n">
        <f aca="false">IF(J$79=1,Assumptions!$H$7,IF(J$79&lt;=5,Assumptions!$H$8,Assumptions!$H$8-((Assumptions!$H$8-Assumptions!$H$18)/5)*(J$79-5)))</f>
        <v>0.2716</v>
      </c>
      <c r="K80" s="14" t="n">
        <f aca="false">IF(K$79=1,Assumptions!$H$7,IF(K$79&lt;=5,Assumptions!$H$8,Assumptions!$H$8-((Assumptions!$H$8-Assumptions!$H$18)/5)*(K$79-5)))</f>
        <v>0.1974</v>
      </c>
      <c r="L80" s="14" t="n">
        <f aca="false">IF(L$79=1,Assumptions!$H$7,IF(L$79&lt;=5,Assumptions!$H$8,Assumptions!$H$8-((Assumptions!$H$8-Assumptions!$H$18)/5)*(L$79-5)))</f>
        <v>0.1232</v>
      </c>
      <c r="M80" s="14" t="n">
        <f aca="false">IF(M$79=1,Assumptions!$H$7,IF(M$79&lt;=5,Assumptions!$H$8,Assumptions!$H$8-((Assumptions!$H$8-Assumptions!$H$18)/5)*(M$79-5)))</f>
        <v>0.049</v>
      </c>
      <c r="N80" s="14" t="n">
        <f aca="false">Assumptions!$H$18</f>
        <v>0.049</v>
      </c>
    </row>
    <row r="81" customFormat="false" ht="15" hidden="false" customHeight="false" outlineLevel="0" collapsed="false">
      <c r="B81" s="13" t="s">
        <v>170</v>
      </c>
      <c r="C81" s="46" t="n">
        <f aca="false">Assumptions!$H$6</f>
        <v>19708</v>
      </c>
      <c r="D81" s="51" t="n">
        <f aca="false">C81*(1+D80)</f>
        <v>98540</v>
      </c>
      <c r="E81" s="51" t="n">
        <f aca="false">D81*(1+E80)</f>
        <v>139926.8</v>
      </c>
      <c r="F81" s="51" t="n">
        <f aca="false">E81*(1+F80)</f>
        <v>198696.056</v>
      </c>
      <c r="G81" s="51" t="n">
        <f aca="false">F81*(1+G80)</f>
        <v>282148.39952</v>
      </c>
      <c r="H81" s="51" t="n">
        <f aca="false">G81*(1+H80)</f>
        <v>400650.7273184</v>
      </c>
      <c r="I81" s="51" t="n">
        <f aca="false">H81*(1+I80)</f>
        <v>539195.748825103</v>
      </c>
      <c r="J81" s="51" t="n">
        <f aca="false">I81*(1+J80)</f>
        <v>685641.314206001</v>
      </c>
      <c r="K81" s="51" t="n">
        <f aca="false">J81*(1+K80)</f>
        <v>820986.909630265</v>
      </c>
      <c r="L81" s="51" t="n">
        <f aca="false">K81*(1+L80)</f>
        <v>922132.496896714</v>
      </c>
      <c r="M81" s="51" t="n">
        <f aca="false">L81*(1+M80)</f>
        <v>967316.989244653</v>
      </c>
      <c r="N81" s="51" t="n">
        <f aca="false">M81*(1+N80)</f>
        <v>1014715.52171764</v>
      </c>
    </row>
    <row r="82" customFormat="false" ht="15" hidden="false" customHeight="false" outlineLevel="0" collapsed="false">
      <c r="B82" s="13" t="s">
        <v>204</v>
      </c>
      <c r="C82" s="14"/>
      <c r="D82" s="14" t="n">
        <f aca="false">IF(D$79=1,Assumptions!$H$9,IF(D$79&gt;Assumptions!$H$15,Assumptions!$H$14,Assumptions!$H$14-((Assumptions!$H$14-Assumptions!$H$9)*(Assumptions!$H$15-D$79)/Assumptions!$H$15)))</f>
        <v>0.05</v>
      </c>
      <c r="E82" s="14" t="n">
        <f aca="false">IF(E$79=1,Assumptions!$H$9,IF(E$79&gt;Assumptions!$H$15,Assumptions!$H$14,Assumptions!$H$14-((Assumptions!$H$14-Assumptions!$H$9)*(Assumptions!$H$15-E$79)/Assumptions!$H$15)))</f>
        <v>0.14</v>
      </c>
      <c r="F82" s="14" t="n">
        <f aca="false">IF(F$79=1,Assumptions!$H$9,IF(F$79&gt;Assumptions!$H$15,Assumptions!$H$14,Assumptions!$H$14-((Assumptions!$H$14-Assumptions!$H$9)*(Assumptions!$H$15-F$79)/Assumptions!$H$15)))</f>
        <v>0.185</v>
      </c>
      <c r="G82" s="14" t="n">
        <f aca="false">IF(G$79=1,Assumptions!$H$9,IF(G$79&gt;Assumptions!$H$15,Assumptions!$H$14,Assumptions!$H$14-((Assumptions!$H$14-Assumptions!$H$9)*(Assumptions!$H$15-G$79)/Assumptions!$H$15)))</f>
        <v>0.23</v>
      </c>
      <c r="H82" s="14" t="n">
        <f aca="false">IF(H$79=1,Assumptions!$H$9,IF(H$79&gt;Assumptions!$H$15,Assumptions!$H$14,Assumptions!$H$14-((Assumptions!$H$14-Assumptions!$H$9)*(Assumptions!$H$15-H$79)/Assumptions!$H$15)))</f>
        <v>0.275</v>
      </c>
      <c r="I82" s="14" t="n">
        <f aca="false">IF(I$79=1,Assumptions!$H$9,IF(I$79&gt;Assumptions!$H$15,Assumptions!$H$14,Assumptions!$H$14-((Assumptions!$H$14-Assumptions!$H$9)*(Assumptions!$H$15-I$79)/Assumptions!$H$15)))</f>
        <v>0.275</v>
      </c>
      <c r="J82" s="14" t="n">
        <f aca="false">IF(J$79=1,Assumptions!$H$9,IF(J$79&gt;Assumptions!$H$15,Assumptions!$H$14,Assumptions!$H$14-((Assumptions!$H$14-Assumptions!$H$9)*(Assumptions!$H$15-J$79)/Assumptions!$H$15)))</f>
        <v>0.275</v>
      </c>
      <c r="K82" s="14" t="n">
        <f aca="false">IF(K$79=1,Assumptions!$H$9,IF(K$79&gt;Assumptions!$H$15,Assumptions!$H$14,Assumptions!$H$14-((Assumptions!$H$14-Assumptions!$H$9)*(Assumptions!$H$15-K$79)/Assumptions!$H$15)))</f>
        <v>0.275</v>
      </c>
      <c r="L82" s="14" t="n">
        <f aca="false">IF(L$79=1,Assumptions!$H$9,IF(L$79&gt;Assumptions!$H$15,Assumptions!$H$14,Assumptions!$H$14-((Assumptions!$H$14-Assumptions!$H$9)*(Assumptions!$H$15-L$79)/Assumptions!$H$15)))</f>
        <v>0.275</v>
      </c>
      <c r="M82" s="14" t="n">
        <f aca="false">IF(M$79=1,Assumptions!$H$9,IF(M$79&gt;Assumptions!$H$15,Assumptions!$H$14,Assumptions!$H$14-((Assumptions!$H$14-Assumptions!$H$9)*(Assumptions!$H$15-M$79)/Assumptions!$H$15)))</f>
        <v>0.275</v>
      </c>
      <c r="N82" s="14" t="n">
        <f aca="false">Assumptions!$H$14</f>
        <v>0.275</v>
      </c>
    </row>
    <row r="83" customFormat="false" ht="15" hidden="false" customHeight="false" outlineLevel="0" collapsed="false">
      <c r="B83" s="13" t="s">
        <v>205</v>
      </c>
      <c r="C83" s="51"/>
      <c r="D83" s="51" t="n">
        <f aca="false">D81*D82</f>
        <v>4927</v>
      </c>
      <c r="E83" s="51" t="n">
        <f aca="false">E81*E82</f>
        <v>19589.752</v>
      </c>
      <c r="F83" s="51" t="n">
        <f aca="false">F81*F82</f>
        <v>36758.77036</v>
      </c>
      <c r="G83" s="51" t="n">
        <f aca="false">G81*G82</f>
        <v>64894.1318896</v>
      </c>
      <c r="H83" s="51" t="n">
        <f aca="false">H81*H82</f>
        <v>110178.95001256</v>
      </c>
      <c r="I83" s="51" t="n">
        <f aca="false">I81*I82</f>
        <v>148278.830926903</v>
      </c>
      <c r="J83" s="51" t="n">
        <f aca="false">J81*J82</f>
        <v>188551.36140665</v>
      </c>
      <c r="K83" s="51" t="n">
        <f aca="false">K81*K82</f>
        <v>225771.400148323</v>
      </c>
      <c r="L83" s="51" t="n">
        <f aca="false">L81*L82</f>
        <v>253586.436646596</v>
      </c>
      <c r="M83" s="51" t="n">
        <f aca="false">M81*M82</f>
        <v>266012.17204228</v>
      </c>
      <c r="N83" s="51" t="n">
        <f aca="false">N81*N82</f>
        <v>279046.768472351</v>
      </c>
    </row>
    <row r="84" customFormat="false" ht="15" hidden="false" customHeight="false" outlineLevel="0" collapsed="false">
      <c r="B84" s="13" t="s">
        <v>206</v>
      </c>
      <c r="C84" s="14"/>
      <c r="D84" s="14" t="n">
        <f aca="false">IF(D$79&lt;=5,0,Assumptions!$H$21*(D$79-5)/5)</f>
        <v>0</v>
      </c>
      <c r="E84" s="14" t="n">
        <f aca="false">IF(E$79&lt;=5,0,Assumptions!$H$21*(E$79-5)/5)</f>
        <v>0</v>
      </c>
      <c r="F84" s="14" t="n">
        <f aca="false">IF(F$79&lt;=5,0,Assumptions!$H$21*(F$79-5)/5)</f>
        <v>0</v>
      </c>
      <c r="G84" s="14" t="n">
        <f aca="false">IF(G$79&lt;=5,0,Assumptions!$H$21*(G$79-5)/5)</f>
        <v>0</v>
      </c>
      <c r="H84" s="14" t="n">
        <f aca="false">IF(H$79&lt;=5,0,Assumptions!$H$21*(H$79-5)/5)</f>
        <v>0</v>
      </c>
      <c r="I84" s="14" t="n">
        <f aca="false">IF(I$79&lt;=5,0,Assumptions!$H$21*(I$79-5)/5)</f>
        <v>0.05</v>
      </c>
      <c r="J84" s="14" t="n">
        <f aca="false">IF(J$79&lt;=5,0,Assumptions!$H$21*(J$79-5)/5)</f>
        <v>0.1</v>
      </c>
      <c r="K84" s="14" t="n">
        <f aca="false">IF(K$79&lt;=5,0,Assumptions!$H$21*(K$79-5)/5)</f>
        <v>0.15</v>
      </c>
      <c r="L84" s="14" t="n">
        <f aca="false">IF(L$79&lt;=5,0,Assumptions!$H$21*(L$79-5)/5)</f>
        <v>0.2</v>
      </c>
      <c r="M84" s="14" t="n">
        <f aca="false">IF(M$79&lt;=5,0,Assumptions!$H$21*(M$79-5)/5)</f>
        <v>0.25</v>
      </c>
      <c r="N84" s="14" t="n">
        <f aca="false">Assumptions!$H$21</f>
        <v>0.25</v>
      </c>
    </row>
    <row r="85" customFormat="false" ht="15" hidden="false" customHeight="false" outlineLevel="0" collapsed="false">
      <c r="B85" s="13" t="s">
        <v>207</v>
      </c>
      <c r="C85" s="51"/>
      <c r="D85" s="51" t="n">
        <f aca="false">IF(D83&gt;0,IF(D83&lt;C86,D83,D83-(D83-C86)*D84),D83)</f>
        <v>4927</v>
      </c>
      <c r="E85" s="51" t="n">
        <f aca="false">IF(E83&gt;0,IF(E83&lt;D86,E83,E83-(E83-D86)*E84),E83)</f>
        <v>19589.752</v>
      </c>
      <c r="F85" s="51" t="n">
        <f aca="false">IF(F83&gt;0,IF(F83&lt;E86,F83,F83-(F83-E86)*F84),F83)</f>
        <v>36758.77036</v>
      </c>
      <c r="G85" s="51" t="n">
        <f aca="false">IF(G83&gt;0,IF(G83&lt;F86,G83,G83-(G83-F86)*G84),G83)</f>
        <v>64894.1318896</v>
      </c>
      <c r="H85" s="51" t="n">
        <f aca="false">IF(H83&gt;0,IF(H83&lt;G86,H83,H83-(H83-G86)*H84),H83)</f>
        <v>110178.95001256</v>
      </c>
      <c r="I85" s="51" t="n">
        <f aca="false">IF(I83&gt;0,IF(I83&lt;H86,I83,I83-(I83-H86)*I84),I83)</f>
        <v>140864.889380558</v>
      </c>
      <c r="J85" s="51" t="n">
        <f aca="false">IF(J83&gt;0,IF(J83&lt;I86,J83,J83-(J83-I86)*J84),J83)</f>
        <v>169696.225265985</v>
      </c>
      <c r="K85" s="51" t="n">
        <f aca="false">IF(K83&gt;0,IF(K83&lt;J86,K83,K83-(K83-J86)*K84),K83)</f>
        <v>191905.690126075</v>
      </c>
      <c r="L85" s="51" t="n">
        <f aca="false">IF(L83&gt;0,IF(L83&lt;K86,L83,L83-(L83-K86)*L84),L83)</f>
        <v>202869.149317277</v>
      </c>
      <c r="M85" s="51" t="n">
        <f aca="false">IF(M83&gt;0,IF(M83&lt;L86,M83,M83-(M83-L86)*M84),M83)</f>
        <v>199509.12903171</v>
      </c>
      <c r="N85" s="51" t="n">
        <f aca="false">N83*(1-N84)</f>
        <v>209285.076354263</v>
      </c>
    </row>
    <row r="86" customFormat="false" ht="15" hidden="false" customHeight="false" outlineLevel="0" collapsed="false">
      <c r="B86" s="13" t="s">
        <v>208</v>
      </c>
      <c r="C86" s="51" t="n">
        <v>0</v>
      </c>
      <c r="D86" s="51" t="n">
        <f aca="false">IF(D83&lt;0,C86-D83,IF(C86&gt;D83,C86-D83,0))</f>
        <v>0</v>
      </c>
      <c r="E86" s="51" t="n">
        <f aca="false">IF(E83&lt;0,D86-E83,IF(D86&gt;E83,D86-E83,0))</f>
        <v>0</v>
      </c>
      <c r="F86" s="51" t="n">
        <f aca="false">IF(F83&lt;0,E86-F83,IF(E86&gt;F83,E86-F83,0))</f>
        <v>0</v>
      </c>
      <c r="G86" s="51" t="n">
        <f aca="false">IF(G83&lt;0,F86-G83,IF(F86&gt;G83,F86-G83,0))</f>
        <v>0</v>
      </c>
      <c r="H86" s="51" t="n">
        <f aca="false">IF(H83&lt;0,G86-H83,IF(G86&gt;H83,G86-H83,0))</f>
        <v>0</v>
      </c>
      <c r="I86" s="51" t="n">
        <f aca="false">IF(I83&lt;0,H86-I83,IF(H86&gt;I83,H86-I83,0))</f>
        <v>0</v>
      </c>
      <c r="J86" s="51" t="n">
        <f aca="false">IF(J83&lt;0,I86-J83,IF(I86&gt;J83,I86-J83,0))</f>
        <v>0</v>
      </c>
      <c r="K86" s="51" t="n">
        <f aca="false">IF(K83&lt;0,J86-K83,IF(J86&gt;K83,J86-K83,0))</f>
        <v>0</v>
      </c>
      <c r="L86" s="51" t="n">
        <f aca="false">IF(L83&lt;0,K86-L83,IF(K86&gt;L83,K86-L83,0))</f>
        <v>0</v>
      </c>
      <c r="M86" s="51" t="n">
        <f aca="false">IF(M83&lt;0,L86-M83,IF(L86&gt;M83,L86-M83,0))</f>
        <v>0</v>
      </c>
      <c r="N86" s="51"/>
    </row>
    <row r="87" customFormat="false" ht="15" hidden="false" customHeight="false" outlineLevel="0" collapsed="false">
      <c r="B87" s="13" t="s">
        <v>209</v>
      </c>
      <c r="C87" s="51"/>
      <c r="D87" s="51" t="n">
        <f aca="false">(E81-D81)/Assumptions!$H$16</f>
        <v>16554.72</v>
      </c>
      <c r="E87" s="51" t="n">
        <f aca="false">(F81-E81)/Assumptions!$H$16</f>
        <v>23507.7024</v>
      </c>
      <c r="F87" s="51" t="n">
        <f aca="false">(G81-F81)/Assumptions!$H$16</f>
        <v>33380.937408</v>
      </c>
      <c r="G87" s="51" t="n">
        <f aca="false">(H81-G81)/Assumptions!$H$16</f>
        <v>47400.93111936</v>
      </c>
      <c r="H87" s="51" t="n">
        <f aca="false">(I81-H81)/Assumptions!$H$16</f>
        <v>55418.0086026811</v>
      </c>
      <c r="I87" s="51" t="n">
        <f aca="false">(J81-I81)/Assumptions!$H$16</f>
        <v>58578.2261523591</v>
      </c>
      <c r="J87" s="51" t="n">
        <f aca="false">(K81-J81)/Assumptions!$H$16</f>
        <v>54138.2381697058</v>
      </c>
      <c r="K87" s="51" t="n">
        <f aca="false">(L81-K81)/Assumptions!$H$16</f>
        <v>40458.2349065795</v>
      </c>
      <c r="L87" s="51" t="n">
        <f aca="false">(M81-L81)/Assumptions!$H$16</f>
        <v>18073.7969391756</v>
      </c>
      <c r="M87" s="51" t="n">
        <f aca="false">(N81-M81)/Assumptions!$H$16</f>
        <v>18959.4129891952</v>
      </c>
      <c r="N87" s="51" t="n">
        <f aca="false">IF(N80&gt;0,(N80/Assumptions!$H$20)*N85,0)</f>
        <v>68366.4582757261</v>
      </c>
    </row>
    <row r="88" customFormat="false" ht="15" hidden="false" customHeight="false" outlineLevel="0" collapsed="false">
      <c r="B88" s="13" t="s">
        <v>210</v>
      </c>
      <c r="C88" s="51"/>
      <c r="D88" s="51" t="n">
        <f aca="false">D85-D87</f>
        <v>-11627.72</v>
      </c>
      <c r="E88" s="51" t="n">
        <f aca="false">E85-E87</f>
        <v>-3917.9504</v>
      </c>
      <c r="F88" s="51" t="n">
        <f aca="false">F85-F87</f>
        <v>3377.83295200001</v>
      </c>
      <c r="G88" s="51" t="n">
        <f aca="false">G85-G87</f>
        <v>17493.20077024</v>
      </c>
      <c r="H88" s="51" t="n">
        <f aca="false">H85-H87</f>
        <v>54760.9414098789</v>
      </c>
      <c r="I88" s="51" t="n">
        <f aca="false">I85-I87</f>
        <v>82286.663228199</v>
      </c>
      <c r="J88" s="51" t="n">
        <f aca="false">J85-J87</f>
        <v>115557.987096279</v>
      </c>
      <c r="K88" s="51" t="n">
        <f aca="false">K85-K87</f>
        <v>151447.455219495</v>
      </c>
      <c r="L88" s="51" t="n">
        <f aca="false">L85-L87</f>
        <v>184795.352378102</v>
      </c>
      <c r="M88" s="51" t="n">
        <f aca="false">M85-M87</f>
        <v>180549.716042515</v>
      </c>
      <c r="N88" s="51" t="n">
        <f aca="false">N85-N87</f>
        <v>140918.618078537</v>
      </c>
    </row>
    <row r="89" customFormat="false" ht="15" hidden="false" customHeight="false" outlineLevel="0" collapsed="false">
      <c r="B89" s="13" t="s">
        <v>211</v>
      </c>
      <c r="C89" s="14"/>
      <c r="D89" s="14" t="n">
        <f aca="false">IF(D$79&lt;=5,Assumptions!$H$17,Assumptions!$H$17-((Assumptions!$H$17-Assumptions!$H$19)/5)*(D$79-5))</f>
        <v>0.0974</v>
      </c>
      <c r="E89" s="14" t="n">
        <f aca="false">IF(E$79&lt;=5,Assumptions!$H$17,Assumptions!$H$17-((Assumptions!$H$17-Assumptions!$H$19)/5)*(E$79-5))</f>
        <v>0.0974</v>
      </c>
      <c r="F89" s="14" t="n">
        <f aca="false">IF(F$79&lt;=5,Assumptions!$H$17,Assumptions!$H$17-((Assumptions!$H$17-Assumptions!$H$19)/5)*(F$79-5))</f>
        <v>0.0974</v>
      </c>
      <c r="G89" s="14" t="n">
        <f aca="false">IF(G$79&lt;=5,Assumptions!$H$17,Assumptions!$H$17-((Assumptions!$H$17-Assumptions!$H$19)/5)*(G$79-5))</f>
        <v>0.0974</v>
      </c>
      <c r="H89" s="14" t="n">
        <f aca="false">IF(H$79&lt;=5,Assumptions!$H$17,Assumptions!$H$17-((Assumptions!$H$17-Assumptions!$H$19)/5)*(H$79-5))</f>
        <v>0.0974</v>
      </c>
      <c r="I89" s="14" t="n">
        <f aca="false">IF(I$79&lt;=5,Assumptions!$H$17,Assumptions!$H$17-((Assumptions!$H$17-Assumptions!$H$19)/5)*(I$79-5))</f>
        <v>0.09618</v>
      </c>
      <c r="J89" s="14" t="n">
        <f aca="false">IF(J$79&lt;=5,Assumptions!$H$17,Assumptions!$H$17-((Assumptions!$H$17-Assumptions!$H$19)/5)*(J$79-5))</f>
        <v>0.09496</v>
      </c>
      <c r="K89" s="14" t="n">
        <f aca="false">IF(K$79&lt;=5,Assumptions!$H$17,Assumptions!$H$17-((Assumptions!$H$17-Assumptions!$H$19)/5)*(K$79-5))</f>
        <v>0.09374</v>
      </c>
      <c r="L89" s="14" t="n">
        <f aca="false">IF(L$79&lt;=5,Assumptions!$H$17,Assumptions!$H$17-((Assumptions!$H$17-Assumptions!$H$19)/5)*(L$79-5))</f>
        <v>0.09252</v>
      </c>
      <c r="M89" s="14" t="n">
        <f aca="false">IF(M$79&lt;=5,Assumptions!$H$17,Assumptions!$H$17-((Assumptions!$H$17-Assumptions!$H$19)/5)*(M$79-5))</f>
        <v>0.0913</v>
      </c>
      <c r="N89" s="14" t="n">
        <f aca="false">Assumptions!$H$19</f>
        <v>0.0913</v>
      </c>
    </row>
    <row r="90" customFormat="false" ht="15" hidden="false" customHeight="false" outlineLevel="0" collapsed="false">
      <c r="B90" s="13" t="s">
        <v>212</v>
      </c>
      <c r="C90" s="52"/>
      <c r="D90" s="52" t="n">
        <f aca="false">1/(1+D89)</f>
        <v>0.911244760342628</v>
      </c>
      <c r="E90" s="52" t="n">
        <f aca="false">D90/(1+E89)</f>
        <v>0.830367013251894</v>
      </c>
      <c r="F90" s="52" t="n">
        <f aca="false">E90/(1+F89)</f>
        <v>0.756667589987146</v>
      </c>
      <c r="G90" s="52" t="n">
        <f aca="false">F90/(1+G89)</f>
        <v>0.689509376696871</v>
      </c>
      <c r="H90" s="52" t="n">
        <f aca="false">G90/(1+H89)</f>
        <v>0.628311806722135</v>
      </c>
      <c r="I90" s="52" t="n">
        <f aca="false">H90/(1+I89)</f>
        <v>0.57318306001034</v>
      </c>
      <c r="J90" s="52" t="n">
        <f aca="false">I90/(1+J89)</f>
        <v>0.523473971661376</v>
      </c>
      <c r="K90" s="52" t="n">
        <f aca="false">J90/(1+K89)</f>
        <v>0.478609149945486</v>
      </c>
      <c r="L90" s="52" t="n">
        <f aca="false">K90/(1+L89)</f>
        <v>0.438078158702345</v>
      </c>
      <c r="M90" s="52" t="n">
        <f aca="false">L90/(1+M89)</f>
        <v>0.401427800515298</v>
      </c>
      <c r="N90" s="52"/>
    </row>
    <row r="91" customFormat="false" ht="15" hidden="false" customHeight="false" outlineLevel="0" collapsed="false">
      <c r="B91" s="13" t="s">
        <v>213</v>
      </c>
      <c r="C91" s="51"/>
      <c r="D91" s="51" t="n">
        <f aca="false">D88*D90</f>
        <v>-10595.6989247312</v>
      </c>
      <c r="E91" s="51" t="n">
        <f aca="false">E88*E90</f>
        <v>-3253.33677171706</v>
      </c>
      <c r="F91" s="51" t="n">
        <f aca="false">F88*F90</f>
        <v>2555.89671916902</v>
      </c>
      <c r="G91" s="51" t="n">
        <f aca="false">G88*G90</f>
        <v>12061.7259595214</v>
      </c>
      <c r="H91" s="51" t="n">
        <f aca="false">H88*H90</f>
        <v>34406.946035046</v>
      </c>
      <c r="I91" s="51" t="n">
        <f aca="false">I88*I90</f>
        <v>47165.3214271795</v>
      </c>
      <c r="J91" s="51" t="n">
        <f aca="false">J88*J90</f>
        <v>60491.5984624834</v>
      </c>
      <c r="K91" s="51" t="n">
        <f aca="false">K88*K90</f>
        <v>72484.1378040096</v>
      </c>
      <c r="L91" s="51" t="n">
        <f aca="false">L88*L90</f>
        <v>80954.8077065498</v>
      </c>
      <c r="M91" s="51" t="n">
        <f aca="false">M88*M90</f>
        <v>72477.6753946083</v>
      </c>
      <c r="N91" s="51"/>
    </row>
    <row r="93" customFormat="false" ht="15" hidden="false" customHeight="false" outlineLevel="0" collapsed="false">
      <c r="B93" s="13" t="s">
        <v>214</v>
      </c>
      <c r="C93" s="51" t="n">
        <f aca="false">N88/(N89-N80)</f>
        <v>3331409.41084013</v>
      </c>
    </row>
    <row r="94" customFormat="false" ht="15" hidden="false" customHeight="false" outlineLevel="0" collapsed="false">
      <c r="B94" s="13" t="s">
        <v>215</v>
      </c>
      <c r="C94" s="51" t="n">
        <f aca="false">C93*M90</f>
        <v>1337320.35240952</v>
      </c>
    </row>
    <row r="95" customFormat="false" ht="15" hidden="false" customHeight="false" outlineLevel="0" collapsed="false">
      <c r="B95" s="13" t="s">
        <v>216</v>
      </c>
      <c r="C95" s="51" t="n">
        <f aca="false">SUM(D91:M91)</f>
        <v>368749.073812119</v>
      </c>
    </row>
    <row r="96" customFormat="false" ht="15" hidden="false" customHeight="false" outlineLevel="0" collapsed="false">
      <c r="B96" s="13" t="s">
        <v>217</v>
      </c>
      <c r="C96" s="51" t="n">
        <f aca="false">C94+C95</f>
        <v>1706069.42622164</v>
      </c>
    </row>
    <row r="97" customFormat="false" ht="15" hidden="false" customHeight="false" outlineLevel="0" collapsed="false">
      <c r="B97" s="13" t="s">
        <v>218</v>
      </c>
      <c r="C97" s="51" t="n">
        <f aca="false">C96*(1-Assumptions!$H$22)+C96*Assumptions!$H$23*Assumptions!$H$22</f>
        <v>1620765.95491056</v>
      </c>
    </row>
    <row r="98" customFormat="false" ht="15" hidden="false" customHeight="false" outlineLevel="0" collapsed="false">
      <c r="B98" s="13" t="s">
        <v>219</v>
      </c>
      <c r="C98" s="51" t="n">
        <f aca="false">-Assumptions!$H$24-Assumptions!$H$25+Assumptions!$H$26+Assumptions!$H$27+Assumptions!$H$28</f>
        <v>-256018</v>
      </c>
    </row>
    <row r="99" customFormat="false" ht="15" hidden="false" customHeight="false" outlineLevel="0" collapsed="false">
      <c r="B99" s="5" t="s">
        <v>220</v>
      </c>
      <c r="C99" s="51" t="n">
        <f aca="false">C97+C98</f>
        <v>1364747.95491056</v>
      </c>
    </row>
    <row r="100" customFormat="false" ht="15" hidden="false" customHeight="false" outlineLevel="0" collapsed="false">
      <c r="B100" s="13" t="s">
        <v>221</v>
      </c>
      <c r="C100" s="51" t="n">
        <f aca="false">Assumptions!$H$30</f>
        <v>472314</v>
      </c>
    </row>
    <row r="101" customFormat="false" ht="15" hidden="false" customHeight="false" outlineLevel="0" collapsed="false">
      <c r="B101" s="5" t="s">
        <v>222</v>
      </c>
      <c r="C101" s="51" t="n">
        <f aca="false">C99-C100</f>
        <v>892433.954910555</v>
      </c>
    </row>
    <row r="102" customFormat="false" ht="15" hidden="false" customHeight="false" outlineLevel="0" collapsed="false">
      <c r="B102" s="13" t="s">
        <v>223</v>
      </c>
      <c r="C102" s="53" t="n">
        <f aca="false">(C101-Assumptions!$H$27)/Assumptions!$H$29</f>
        <v>257.735625743367</v>
      </c>
    </row>
    <row r="103" customFormat="false" ht="15" hidden="false" customHeight="false" outlineLevel="0" collapsed="false">
      <c r="B103" s="13" t="s">
        <v>224</v>
      </c>
      <c r="C103" s="54" t="n">
        <f aca="false">Assumptions!$H$29+Assumptions!$H$27/C102</f>
        <v>3462.59447965945</v>
      </c>
    </row>
    <row r="104" customFormat="false" ht="15" hidden="false" customHeight="false" outlineLevel="0" collapsed="false">
      <c r="B104" s="13" t="s">
        <v>225</v>
      </c>
      <c r="C104" s="14" t="n">
        <f aca="false">Assumptions!$H$31/C102</f>
        <v>2.03697101821211</v>
      </c>
    </row>
    <row r="105" customFormat="false" ht="15" hidden="false" customHeight="false" outlineLevel="0" collapsed="false">
      <c r="B105" s="13" t="s">
        <v>226</v>
      </c>
      <c r="C105" s="55" t="n">
        <f aca="false">M81/1000</f>
        <v>967.316989244653</v>
      </c>
    </row>
    <row r="106" customFormat="false" ht="15" hidden="false" customHeight="false" outlineLevel="0" collapsed="false">
      <c r="B106" s="13" t="s">
        <v>227</v>
      </c>
      <c r="C106" s="14" t="n">
        <f aca="false">M85/(533836+SUM(D87:L87))</f>
        <v>0.226368473801208</v>
      </c>
    </row>
    <row r="113" customFormat="false" ht="15" hidden="false" customHeight="false" outlineLevel="0" collapsed="false">
      <c r="B113" s="56" t="s">
        <v>230</v>
      </c>
      <c r="C113" s="57"/>
      <c r="D113" s="57"/>
      <c r="E113" s="57"/>
      <c r="F113" s="57"/>
      <c r="G113" s="57"/>
      <c r="H113" s="57"/>
      <c r="I113" s="57"/>
      <c r="J113" s="57"/>
      <c r="K113" s="57"/>
      <c r="L113" s="57"/>
      <c r="M113" s="57"/>
      <c r="N113" s="57"/>
    </row>
    <row r="114" customFormat="false" ht="15" hidden="false" customHeight="false" outlineLevel="0" collapsed="false">
      <c r="B114" s="7" t="s">
        <v>68</v>
      </c>
      <c r="C114" s="8" t="s">
        <v>200</v>
      </c>
      <c r="D114" s="8" t="s">
        <v>160</v>
      </c>
      <c r="E114" s="8" t="s">
        <v>161</v>
      </c>
      <c r="F114" s="8" t="s">
        <v>162</v>
      </c>
      <c r="G114" s="8" t="s">
        <v>163</v>
      </c>
      <c r="H114" s="8" t="s">
        <v>164</v>
      </c>
      <c r="I114" s="8" t="s">
        <v>165</v>
      </c>
      <c r="J114" s="8" t="s">
        <v>166</v>
      </c>
      <c r="K114" s="8" t="s">
        <v>167</v>
      </c>
      <c r="L114" s="8" t="s">
        <v>168</v>
      </c>
      <c r="M114" s="8" t="s">
        <v>169</v>
      </c>
      <c r="N114" s="8" t="s">
        <v>201</v>
      </c>
    </row>
    <row r="115" customFormat="false" ht="15" hidden="false" customHeight="false" outlineLevel="0" collapsed="false">
      <c r="B115" s="2" t="s">
        <v>202</v>
      </c>
      <c r="D115" s="2" t="n">
        <v>1</v>
      </c>
      <c r="E115" s="2" t="n">
        <v>2</v>
      </c>
      <c r="F115" s="2" t="n">
        <v>3</v>
      </c>
      <c r="G115" s="2" t="n">
        <v>4</v>
      </c>
      <c r="H115" s="2" t="n">
        <v>5</v>
      </c>
      <c r="I115" s="2" t="n">
        <v>6</v>
      </c>
      <c r="J115" s="2" t="n">
        <v>7</v>
      </c>
      <c r="K115" s="2" t="n">
        <v>8</v>
      </c>
      <c r="L115" s="2" t="n">
        <v>9</v>
      </c>
      <c r="M115" s="2" t="n">
        <v>10</v>
      </c>
    </row>
    <row r="116" customFormat="false" ht="15" hidden="false" customHeight="false" outlineLevel="0" collapsed="false">
      <c r="B116" s="13" t="s">
        <v>203</v>
      </c>
      <c r="C116" s="14"/>
      <c r="D116" s="14" t="n">
        <f aca="false">IF(D$115=1,Assumptions!$F$7,IF(D$115&lt;=5,Assumptions!$F$8,Assumptions!$F$8-((Assumptions!$F$8-Assumptions!$F$18)/5)*(D$115-5)))</f>
        <v>4</v>
      </c>
      <c r="E116" s="14" t="n">
        <f aca="false">IF(E$115=1,Assumptions!$F$7,IF(E$115&lt;=5,Assumptions!$F$8,Assumptions!$F$8-((Assumptions!$F$8-Assumptions!$F$18)/5)*(E$115-5)))</f>
        <v>0.5125</v>
      </c>
      <c r="F116" s="14" t="n">
        <f aca="false">IF(F$115=1,Assumptions!$F$7,IF(F$115&lt;=5,Assumptions!$F$8,Assumptions!$F$8-((Assumptions!$F$8-Assumptions!$F$18)/5)*(F$115-5)))</f>
        <v>0.5125</v>
      </c>
      <c r="G116" s="14" t="n">
        <f aca="false">IF(G$115=1,Assumptions!$F$7,IF(G$115&lt;=5,Assumptions!$F$8,Assumptions!$F$8-((Assumptions!$F$8-Assumptions!$F$18)/5)*(G$115-5)))</f>
        <v>0.5125</v>
      </c>
      <c r="H116" s="14" t="n">
        <f aca="false">IF(H$115=1,Assumptions!$F$7,IF(H$115&lt;=5,Assumptions!$F$8,Assumptions!$F$8-((Assumptions!$F$8-Assumptions!$F$18)/5)*(H$115-5)))</f>
        <v>0.5125</v>
      </c>
      <c r="I116" s="14" t="n">
        <f aca="false">IF(I$115=1,Assumptions!$F$7,IF(I$115&lt;=5,Assumptions!$F$8,Assumptions!$F$8-((Assumptions!$F$8-Assumptions!$F$18)/5)*(I$115-5)))</f>
        <v>0.4198</v>
      </c>
      <c r="J116" s="14" t="n">
        <f aca="false">IF(J$115=1,Assumptions!$F$7,IF(J$115&lt;=5,Assumptions!$F$8,Assumptions!$F$8-((Assumptions!$F$8-Assumptions!$F$18)/5)*(J$115-5)))</f>
        <v>0.3271</v>
      </c>
      <c r="K116" s="14" t="n">
        <f aca="false">IF(K$115=1,Assumptions!$F$7,IF(K$115&lt;=5,Assumptions!$F$8,Assumptions!$F$8-((Assumptions!$F$8-Assumptions!$F$18)/5)*(K$115-5)))</f>
        <v>0.2344</v>
      </c>
      <c r="L116" s="14" t="n">
        <f aca="false">IF(L$115=1,Assumptions!$F$7,IF(L$115&lt;=5,Assumptions!$F$8,Assumptions!$F$8-((Assumptions!$F$8-Assumptions!$F$18)/5)*(L$115-5)))</f>
        <v>0.1417</v>
      </c>
      <c r="M116" s="14" t="n">
        <f aca="false">IF(M$115=1,Assumptions!$F$7,IF(M$115&lt;=5,Assumptions!$F$8,Assumptions!$F$8-((Assumptions!$F$8-Assumptions!$F$18)/5)*(M$115-5)))</f>
        <v>0.049</v>
      </c>
      <c r="N116" s="14" t="n">
        <f aca="false">Assumptions!$F$18</f>
        <v>0.049</v>
      </c>
    </row>
    <row r="117" customFormat="false" ht="15" hidden="false" customHeight="false" outlineLevel="0" collapsed="false">
      <c r="B117" s="13" t="s">
        <v>170</v>
      </c>
      <c r="C117" s="46" t="n">
        <f aca="false">Assumptions!$F$6</f>
        <v>20608</v>
      </c>
      <c r="D117" s="51" t="n">
        <f aca="false">C117*(1+D116)</f>
        <v>103040</v>
      </c>
      <c r="E117" s="51" t="n">
        <f aca="false">D117*(1+E116)</f>
        <v>155848</v>
      </c>
      <c r="F117" s="51" t="n">
        <f aca="false">E117*(1+F116)</f>
        <v>235720.1</v>
      </c>
      <c r="G117" s="51" t="n">
        <f aca="false">F117*(1+G116)</f>
        <v>356526.65125</v>
      </c>
      <c r="H117" s="51" t="n">
        <f aca="false">G117*(1+H116)</f>
        <v>539246.560015625</v>
      </c>
      <c r="I117" s="51" t="n">
        <f aca="false">H117*(1+I116)</f>
        <v>765622.265910184</v>
      </c>
      <c r="J117" s="51" t="n">
        <f aca="false">I117*(1+J116)</f>
        <v>1016057.30908941</v>
      </c>
      <c r="K117" s="51" t="n">
        <f aca="false">J117*(1+K116)</f>
        <v>1254221.14233996</v>
      </c>
      <c r="L117" s="51" t="n">
        <f aca="false">K117*(1+L116)</f>
        <v>1431944.27820954</v>
      </c>
      <c r="M117" s="51" t="n">
        <f aca="false">L117*(1+M116)</f>
        <v>1502109.5478418</v>
      </c>
      <c r="N117" s="51" t="n">
        <f aca="false">M117*(1+N116)</f>
        <v>1575712.91568605</v>
      </c>
    </row>
    <row r="118" customFormat="false" ht="15" hidden="false" customHeight="false" outlineLevel="0" collapsed="false">
      <c r="B118" s="13" t="s">
        <v>204</v>
      </c>
      <c r="C118" s="14"/>
      <c r="D118" s="14" t="n">
        <f aca="false">IF(D$115=1,Assumptions!$F$9,IF(D$115&gt;Assumptions!$F$15,Assumptions!$F$14,Assumptions!$F$14-((Assumptions!$F$14-Assumptions!$F$9)*(Assumptions!$F$15-D$115)/Assumptions!$F$15)))</f>
        <v>0.05</v>
      </c>
      <c r="E118" s="14" t="n">
        <f aca="false">IF(E$115=1,Assumptions!$F$9,IF(E$115&gt;Assumptions!$F$15,Assumptions!$F$14,Assumptions!$F$14-((Assumptions!$F$14-Assumptions!$F$9)*(Assumptions!$F$15-E$115)/Assumptions!$F$15)))</f>
        <v>0.19</v>
      </c>
      <c r="F118" s="14" t="n">
        <f aca="false">IF(F$115=1,Assumptions!$F$9,IF(F$115&gt;Assumptions!$F$15,Assumptions!$F$14,Assumptions!$F$14-((Assumptions!$F$14-Assumptions!$F$9)*(Assumptions!$F$15-F$115)/Assumptions!$F$15)))</f>
        <v>0.26</v>
      </c>
      <c r="G118" s="14" t="n">
        <f aca="false">IF(G$115=1,Assumptions!$F$9,IF(G$115&gt;Assumptions!$F$15,Assumptions!$F$14,Assumptions!$F$14-((Assumptions!$F$14-Assumptions!$F$9)*(Assumptions!$F$15-G$115)/Assumptions!$F$15)))</f>
        <v>0.33</v>
      </c>
      <c r="H118" s="14" t="n">
        <f aca="false">IF(H$115=1,Assumptions!$F$9,IF(H$115&gt;Assumptions!$F$15,Assumptions!$F$14,Assumptions!$F$14-((Assumptions!$F$14-Assumptions!$F$9)*(Assumptions!$F$15-H$115)/Assumptions!$F$15)))</f>
        <v>0.4</v>
      </c>
      <c r="I118" s="14" t="n">
        <f aca="false">IF(I$115=1,Assumptions!$F$9,IF(I$115&gt;Assumptions!$F$15,Assumptions!$F$14,Assumptions!$F$14-((Assumptions!$F$14-Assumptions!$F$9)*(Assumptions!$F$15-I$115)/Assumptions!$F$15)))</f>
        <v>0.4</v>
      </c>
      <c r="J118" s="14" t="n">
        <f aca="false">IF(J$115=1,Assumptions!$F$9,IF(J$115&gt;Assumptions!$F$15,Assumptions!$F$14,Assumptions!$F$14-((Assumptions!$F$14-Assumptions!$F$9)*(Assumptions!$F$15-J$115)/Assumptions!$F$15)))</f>
        <v>0.4</v>
      </c>
      <c r="K118" s="14" t="n">
        <f aca="false">IF(K$115=1,Assumptions!$F$9,IF(K$115&gt;Assumptions!$F$15,Assumptions!$F$14,Assumptions!$F$14-((Assumptions!$F$14-Assumptions!$F$9)*(Assumptions!$F$15-K$115)/Assumptions!$F$15)))</f>
        <v>0.4</v>
      </c>
      <c r="L118" s="14" t="n">
        <f aca="false">IF(L$115=1,Assumptions!$F$9,IF(L$115&gt;Assumptions!$F$15,Assumptions!$F$14,Assumptions!$F$14-((Assumptions!$F$14-Assumptions!$F$9)*(Assumptions!$F$15-L$115)/Assumptions!$F$15)))</f>
        <v>0.4</v>
      </c>
      <c r="M118" s="14" t="n">
        <f aca="false">IF(M$115=1,Assumptions!$F$9,IF(M$115&gt;Assumptions!$F$15,Assumptions!$F$14,Assumptions!$F$14-((Assumptions!$F$14-Assumptions!$F$9)*(Assumptions!$F$15-M$115)/Assumptions!$F$15)))</f>
        <v>0.4</v>
      </c>
      <c r="N118" s="14" t="n">
        <f aca="false">Assumptions!$F$14</f>
        <v>0.4</v>
      </c>
    </row>
    <row r="119" customFormat="false" ht="15" hidden="false" customHeight="false" outlineLevel="0" collapsed="false">
      <c r="B119" s="13" t="s">
        <v>205</v>
      </c>
      <c r="C119" s="51"/>
      <c r="D119" s="51" t="n">
        <f aca="false">D117*D118</f>
        <v>5152</v>
      </c>
      <c r="E119" s="51" t="n">
        <f aca="false">E117*E118</f>
        <v>29611.12</v>
      </c>
      <c r="F119" s="51" t="n">
        <f aca="false">F117*F118</f>
        <v>61287.226</v>
      </c>
      <c r="G119" s="51" t="n">
        <f aca="false">G117*G118</f>
        <v>117653.7949125</v>
      </c>
      <c r="H119" s="51" t="n">
        <f aca="false">H117*H118</f>
        <v>215698.62400625</v>
      </c>
      <c r="I119" s="51" t="n">
        <f aca="false">I117*I118</f>
        <v>306248.906364074</v>
      </c>
      <c r="J119" s="51" t="n">
        <f aca="false">J117*J118</f>
        <v>406422.923635762</v>
      </c>
      <c r="K119" s="51" t="n">
        <f aca="false">K117*K118</f>
        <v>501688.456935985</v>
      </c>
      <c r="L119" s="51" t="n">
        <f aca="false">L117*L118</f>
        <v>572777.711283814</v>
      </c>
      <c r="M119" s="51" t="n">
        <f aca="false">M117*M118</f>
        <v>600843.819136721</v>
      </c>
      <c r="N119" s="51" t="n">
        <f aca="false">N117*N118</f>
        <v>630285.16627442</v>
      </c>
    </row>
    <row r="120" customFormat="false" ht="15" hidden="false" customHeight="false" outlineLevel="0" collapsed="false">
      <c r="B120" s="13" t="s">
        <v>206</v>
      </c>
      <c r="C120" s="14"/>
      <c r="D120" s="14" t="n">
        <f aca="false">IF(D$115&lt;=5,0,Assumptions!$F$21*(D$115-5)/5)</f>
        <v>0</v>
      </c>
      <c r="E120" s="14" t="n">
        <f aca="false">IF(E$115&lt;=5,0,Assumptions!$F$21*(E$115-5)/5)</f>
        <v>0</v>
      </c>
      <c r="F120" s="14" t="n">
        <f aca="false">IF(F$115&lt;=5,0,Assumptions!$F$21*(F$115-5)/5)</f>
        <v>0</v>
      </c>
      <c r="G120" s="14" t="n">
        <f aca="false">IF(G$115&lt;=5,0,Assumptions!$F$21*(G$115-5)/5)</f>
        <v>0</v>
      </c>
      <c r="H120" s="14" t="n">
        <f aca="false">IF(H$115&lt;=5,0,Assumptions!$F$21*(H$115-5)/5)</f>
        <v>0</v>
      </c>
      <c r="I120" s="14" t="n">
        <f aca="false">IF(I$115&lt;=5,0,Assumptions!$F$21*(I$115-5)/5)</f>
        <v>0.05</v>
      </c>
      <c r="J120" s="14" t="n">
        <f aca="false">IF(J$115&lt;=5,0,Assumptions!$F$21*(J$115-5)/5)</f>
        <v>0.1</v>
      </c>
      <c r="K120" s="14" t="n">
        <f aca="false">IF(K$115&lt;=5,0,Assumptions!$F$21*(K$115-5)/5)</f>
        <v>0.15</v>
      </c>
      <c r="L120" s="14" t="n">
        <f aca="false">IF(L$115&lt;=5,0,Assumptions!$F$21*(L$115-5)/5)</f>
        <v>0.2</v>
      </c>
      <c r="M120" s="14" t="n">
        <f aca="false">IF(M$115&lt;=5,0,Assumptions!$F$21*(M$115-5)/5)</f>
        <v>0.25</v>
      </c>
      <c r="N120" s="14" t="n">
        <f aca="false">Assumptions!$F$21</f>
        <v>0.25</v>
      </c>
    </row>
    <row r="121" customFormat="false" ht="15" hidden="false" customHeight="false" outlineLevel="0" collapsed="false">
      <c r="B121" s="13" t="s">
        <v>207</v>
      </c>
      <c r="C121" s="51"/>
      <c r="D121" s="51" t="n">
        <f aca="false">IF(D119&gt;0,IF(D119&lt;C122,D119,D119-(D119-C122)*D120),D119)</f>
        <v>5152</v>
      </c>
      <c r="E121" s="51" t="n">
        <f aca="false">IF(E119&gt;0,IF(E119&lt;D122,E119,E119-(E119-D122)*E120),E119)</f>
        <v>29611.12</v>
      </c>
      <c r="F121" s="51" t="n">
        <f aca="false">IF(F119&gt;0,IF(F119&lt;E122,F119,F119-(F119-E122)*F120),F119)</f>
        <v>61287.226</v>
      </c>
      <c r="G121" s="51" t="n">
        <f aca="false">IF(G119&gt;0,IF(G119&lt;F122,G119,G119-(G119-F122)*G120),G119)</f>
        <v>117653.7949125</v>
      </c>
      <c r="H121" s="51" t="n">
        <f aca="false">IF(H119&gt;0,IF(H119&lt;G122,H119,H119-(H119-G122)*H120),H119)</f>
        <v>215698.62400625</v>
      </c>
      <c r="I121" s="51" t="n">
        <f aca="false">IF(I119&gt;0,IF(I119&lt;H122,I119,I119-(I119-H122)*I120),I119)</f>
        <v>290936.46104587</v>
      </c>
      <c r="J121" s="51" t="n">
        <f aca="false">IF(J119&gt;0,IF(J119&lt;I122,J119,J119-(J119-I122)*J120),J119)</f>
        <v>365780.631272186</v>
      </c>
      <c r="K121" s="51" t="n">
        <f aca="false">IF(K119&gt;0,IF(K119&lt;J122,K119,K119-(K119-J122)*K120),K119)</f>
        <v>426435.188395587</v>
      </c>
      <c r="L121" s="51" t="n">
        <f aca="false">IF(L119&gt;0,IF(L119&lt;K122,L119,L119-(L119-K122)*L120),L119)</f>
        <v>458222.169027051</v>
      </c>
      <c r="M121" s="51" t="n">
        <f aca="false">IF(M119&gt;0,IF(M119&lt;L122,M119,M119-(M119-L122)*M120),M119)</f>
        <v>450632.864352541</v>
      </c>
      <c r="N121" s="51" t="n">
        <f aca="false">N119*(1-N120)</f>
        <v>472713.874705815</v>
      </c>
    </row>
    <row r="122" customFormat="false" ht="15" hidden="false" customHeight="false" outlineLevel="0" collapsed="false">
      <c r="B122" s="13" t="s">
        <v>208</v>
      </c>
      <c r="C122" s="51" t="n">
        <v>0</v>
      </c>
      <c r="D122" s="51" t="n">
        <f aca="false">IF(D119&lt;0,C122-D119,IF(C122&gt;D119,C122-D119,0))</f>
        <v>0</v>
      </c>
      <c r="E122" s="51" t="n">
        <f aca="false">IF(E119&lt;0,D122-E119,IF(D122&gt;E119,D122-E119,0))</f>
        <v>0</v>
      </c>
      <c r="F122" s="51" t="n">
        <f aca="false">IF(F119&lt;0,E122-F119,IF(E122&gt;F119,E122-F119,0))</f>
        <v>0</v>
      </c>
      <c r="G122" s="51" t="n">
        <f aca="false">IF(G119&lt;0,F122-G119,IF(F122&gt;G119,F122-G119,0))</f>
        <v>0</v>
      </c>
      <c r="H122" s="51" t="n">
        <f aca="false">IF(H119&lt;0,G122-H119,IF(G122&gt;H119,G122-H119,0))</f>
        <v>0</v>
      </c>
      <c r="I122" s="51" t="n">
        <f aca="false">IF(I119&lt;0,H122-I119,IF(H122&gt;I119,H122-I119,0))</f>
        <v>0</v>
      </c>
      <c r="J122" s="51" t="n">
        <f aca="false">IF(J119&lt;0,I122-J119,IF(I122&gt;J119,I122-J119,0))</f>
        <v>0</v>
      </c>
      <c r="K122" s="51" t="n">
        <f aca="false">IF(K119&lt;0,J122-K119,IF(J122&gt;K119,J122-K119,0))</f>
        <v>0</v>
      </c>
      <c r="L122" s="51" t="n">
        <f aca="false">IF(L119&lt;0,K122-L119,IF(K122&gt;L119,K122-L119,0))</f>
        <v>0</v>
      </c>
      <c r="M122" s="51" t="n">
        <f aca="false">IF(M119&lt;0,L122-M119,IF(L122&gt;M119,L122-M119,0))</f>
        <v>0</v>
      </c>
      <c r="N122" s="51"/>
    </row>
    <row r="123" customFormat="false" ht="15" hidden="false" customHeight="false" outlineLevel="0" collapsed="false">
      <c r="B123" s="13" t="s">
        <v>209</v>
      </c>
      <c r="C123" s="51"/>
      <c r="D123" s="51" t="n">
        <f aca="false">(E117-D117)/Assumptions!$F$16</f>
        <v>13202</v>
      </c>
      <c r="E123" s="51" t="n">
        <f aca="false">(F117-E117)/Assumptions!$F$16</f>
        <v>19968.025</v>
      </c>
      <c r="F123" s="51" t="n">
        <f aca="false">(G117-F117)/Assumptions!$F$16</f>
        <v>30201.6378125</v>
      </c>
      <c r="G123" s="51" t="n">
        <f aca="false">(H117-G117)/Assumptions!$F$16</f>
        <v>45679.9771914062</v>
      </c>
      <c r="H123" s="51" t="n">
        <f aca="false">(I117-H117)/Assumptions!$F$16</f>
        <v>56593.9264736399</v>
      </c>
      <c r="I123" s="51" t="n">
        <f aca="false">(J117-I117)/Assumptions!$F$16</f>
        <v>62608.7607948053</v>
      </c>
      <c r="J123" s="51" t="n">
        <f aca="false">(K117-J117)/Assumptions!$F$16</f>
        <v>59540.9583126392</v>
      </c>
      <c r="K123" s="51" t="n">
        <f aca="false">(L117-K117)/Assumptions!$F$16</f>
        <v>44430.7839673932</v>
      </c>
      <c r="L123" s="51" t="n">
        <f aca="false">(M117-L117)/Assumptions!$F$16</f>
        <v>17541.3174080668</v>
      </c>
      <c r="M123" s="51" t="n">
        <f aca="false">(N117-M117)/Assumptions!$F$16</f>
        <v>18400.841961062</v>
      </c>
      <c r="N123" s="51" t="n">
        <f aca="false">IF(N116&gt;0,(N116/Assumptions!$F$20)*N121,0)</f>
        <v>154419.865737233</v>
      </c>
    </row>
    <row r="124" customFormat="false" ht="15" hidden="false" customHeight="false" outlineLevel="0" collapsed="false">
      <c r="B124" s="13" t="s">
        <v>210</v>
      </c>
      <c r="C124" s="51"/>
      <c r="D124" s="51" t="n">
        <f aca="false">D121-D123</f>
        <v>-8050</v>
      </c>
      <c r="E124" s="51" t="n">
        <f aca="false">E121-E123</f>
        <v>9643.095</v>
      </c>
      <c r="F124" s="51" t="n">
        <f aca="false">F121-F123</f>
        <v>31085.5881875</v>
      </c>
      <c r="G124" s="51" t="n">
        <f aca="false">G121-G123</f>
        <v>71973.8177210938</v>
      </c>
      <c r="H124" s="51" t="n">
        <f aca="false">H121-H123</f>
        <v>159104.69753261</v>
      </c>
      <c r="I124" s="51" t="n">
        <f aca="false">I121-I123</f>
        <v>228327.700251065</v>
      </c>
      <c r="J124" s="51" t="n">
        <f aca="false">J121-J123</f>
        <v>306239.672959547</v>
      </c>
      <c r="K124" s="51" t="n">
        <f aca="false">K121-K123</f>
        <v>382004.404428194</v>
      </c>
      <c r="L124" s="51" t="n">
        <f aca="false">L121-L123</f>
        <v>440680.851618985</v>
      </c>
      <c r="M124" s="51" t="n">
        <f aca="false">M121-M123</f>
        <v>432232.022391479</v>
      </c>
      <c r="N124" s="51" t="n">
        <f aca="false">N121-N123</f>
        <v>318294.008968582</v>
      </c>
    </row>
    <row r="125" customFormat="false" ht="15" hidden="false" customHeight="false" outlineLevel="0" collapsed="false">
      <c r="B125" s="13" t="s">
        <v>211</v>
      </c>
      <c r="C125" s="14"/>
      <c r="D125" s="14" t="n">
        <f aca="false">IF(D$115&lt;=5,Assumptions!$F$17,Assumptions!$F$17-((Assumptions!$F$17-Assumptions!$F$19)/5)*(D$115-5))</f>
        <v>0.0779</v>
      </c>
      <c r="E125" s="14" t="n">
        <f aca="false">IF(E$115&lt;=5,Assumptions!$F$17,Assumptions!$F$17-((Assumptions!$F$17-Assumptions!$F$19)/5)*(E$115-5))</f>
        <v>0.0779</v>
      </c>
      <c r="F125" s="14" t="n">
        <f aca="false">IF(F$115&lt;=5,Assumptions!$F$17,Assumptions!$F$17-((Assumptions!$F$17-Assumptions!$F$19)/5)*(F$115-5))</f>
        <v>0.0779</v>
      </c>
      <c r="G125" s="14" t="n">
        <f aca="false">IF(G$115&lt;=5,Assumptions!$F$17,Assumptions!$F$17-((Assumptions!$F$17-Assumptions!$F$19)/5)*(G$115-5))</f>
        <v>0.0779</v>
      </c>
      <c r="H125" s="14" t="n">
        <f aca="false">IF(H$115&lt;=5,Assumptions!$F$17,Assumptions!$F$17-((Assumptions!$F$17-Assumptions!$F$19)/5)*(H$115-5))</f>
        <v>0.0779</v>
      </c>
      <c r="I125" s="14" t="n">
        <f aca="false">IF(I$115&lt;=5,Assumptions!$F$17,Assumptions!$F$17-((Assumptions!$F$17-Assumptions!$F$19)/5)*(I$115-5))</f>
        <v>0.08058</v>
      </c>
      <c r="J125" s="14" t="n">
        <f aca="false">IF(J$115&lt;=5,Assumptions!$F$17,Assumptions!$F$17-((Assumptions!$F$17-Assumptions!$F$19)/5)*(J$115-5))</f>
        <v>0.08326</v>
      </c>
      <c r="K125" s="14" t="n">
        <f aca="false">IF(K$115&lt;=5,Assumptions!$F$17,Assumptions!$F$17-((Assumptions!$F$17-Assumptions!$F$19)/5)*(K$115-5))</f>
        <v>0.08594</v>
      </c>
      <c r="L125" s="14" t="n">
        <f aca="false">IF(L$115&lt;=5,Assumptions!$F$17,Assumptions!$F$17-((Assumptions!$F$17-Assumptions!$F$19)/5)*(L$115-5))</f>
        <v>0.08862</v>
      </c>
      <c r="M125" s="14" t="n">
        <f aca="false">IF(M$115&lt;=5,Assumptions!$F$17,Assumptions!$F$17-((Assumptions!$F$17-Assumptions!$F$19)/5)*(M$115-5))</f>
        <v>0.0913</v>
      </c>
      <c r="N125" s="14" t="n">
        <f aca="false">Assumptions!$F$19</f>
        <v>0.0913</v>
      </c>
    </row>
    <row r="126" customFormat="false" ht="15" hidden="false" customHeight="false" outlineLevel="0" collapsed="false">
      <c r="B126" s="13" t="s">
        <v>212</v>
      </c>
      <c r="C126" s="52"/>
      <c r="D126" s="52" t="n">
        <f aca="false">1/(1+D125)</f>
        <v>0.927729845069116</v>
      </c>
      <c r="E126" s="52" t="n">
        <f aca="false">D126/(1+E125)</f>
        <v>0.860682665431966</v>
      </c>
      <c r="F126" s="52" t="n">
        <f aca="false">E126/(1+F125)</f>
        <v>0.798480995854871</v>
      </c>
      <c r="G126" s="52" t="n">
        <f aca="false">F126/(1+G125)</f>
        <v>0.740774650575073</v>
      </c>
      <c r="H126" s="52" t="n">
        <f aca="false">G126/(1+H125)</f>
        <v>0.687238751809141</v>
      </c>
      <c r="I126" s="52" t="n">
        <f aca="false">H126/(1+I125)</f>
        <v>0.635990627079106</v>
      </c>
      <c r="J126" s="52" t="n">
        <f aca="false">I126/(1+J125)</f>
        <v>0.587108013846266</v>
      </c>
      <c r="K126" s="52" t="n">
        <f aca="false">J126/(1+K125)</f>
        <v>0.540644983927534</v>
      </c>
      <c r="L126" s="52" t="n">
        <f aca="false">K126/(1+L125)</f>
        <v>0.496633337553539</v>
      </c>
      <c r="M126" s="52" t="n">
        <f aca="false">L126/(1+M125)</f>
        <v>0.455084154268798</v>
      </c>
      <c r="N126" s="52"/>
    </row>
    <row r="127" customFormat="false" ht="15" hidden="false" customHeight="false" outlineLevel="0" collapsed="false">
      <c r="B127" s="13" t="s">
        <v>213</v>
      </c>
      <c r="C127" s="51"/>
      <c r="D127" s="51" t="n">
        <f aca="false">D124*D126</f>
        <v>-7468.22525280638</v>
      </c>
      <c r="E127" s="51" t="n">
        <f aca="false">E124*E126</f>
        <v>8299.64470761366</v>
      </c>
      <c r="F127" s="51" t="n">
        <f aca="false">F124*F126</f>
        <v>24821.2514126894</v>
      </c>
      <c r="G127" s="51" t="n">
        <f aca="false">G124*G126</f>
        <v>53316.3796728972</v>
      </c>
      <c r="H127" s="51" t="n">
        <f aca="false">H124*H126</f>
        <v>109342.913739282</v>
      </c>
      <c r="I127" s="51" t="n">
        <f aca="false">I124*I126</f>
        <v>145214.277262205</v>
      </c>
      <c r="J127" s="51" t="n">
        <f aca="false">J124*J126</f>
        <v>179795.76615221</v>
      </c>
      <c r="K127" s="51" t="n">
        <f aca="false">K124*K126</f>
        <v>206528.765092328</v>
      </c>
      <c r="L127" s="51" t="n">
        <f aca="false">L124*L126</f>
        <v>218856.802135472</v>
      </c>
      <c r="M127" s="51" t="n">
        <f aca="false">M124*M126</f>
        <v>196701.944357918</v>
      </c>
      <c r="N127" s="51"/>
    </row>
    <row r="129" customFormat="false" ht="15" hidden="false" customHeight="false" outlineLevel="0" collapsed="false">
      <c r="B129" s="13" t="s">
        <v>214</v>
      </c>
      <c r="C129" s="51" t="n">
        <f aca="false">N124/(N125-N116)</f>
        <v>7524681.06308705</v>
      </c>
    </row>
    <row r="130" customFormat="false" ht="15" hidden="false" customHeight="false" outlineLevel="0" collapsed="false">
      <c r="B130" s="13" t="s">
        <v>215</v>
      </c>
      <c r="C130" s="51" t="n">
        <f aca="false">C129*M126</f>
        <v>3424363.11773741</v>
      </c>
    </row>
    <row r="131" customFormat="false" ht="15" hidden="false" customHeight="false" outlineLevel="0" collapsed="false">
      <c r="B131" s="13" t="s">
        <v>216</v>
      </c>
      <c r="C131" s="51" t="n">
        <f aca="false">SUM(D127:M127)</f>
        <v>1135409.51927981</v>
      </c>
    </row>
    <row r="132" customFormat="false" ht="15" hidden="false" customHeight="false" outlineLevel="0" collapsed="false">
      <c r="B132" s="13" t="s">
        <v>217</v>
      </c>
      <c r="C132" s="51" t="n">
        <f aca="false">C130+C131</f>
        <v>4559772.63701722</v>
      </c>
    </row>
    <row r="133" customFormat="false" ht="15" hidden="false" customHeight="false" outlineLevel="0" collapsed="false">
      <c r="B133" s="13" t="s">
        <v>218</v>
      </c>
      <c r="C133" s="51" t="n">
        <f aca="false">C132*(1-Assumptions!$F$22)+C132*Assumptions!$F$23*Assumptions!$F$22</f>
        <v>4331784.00516636</v>
      </c>
    </row>
    <row r="134" customFormat="false" ht="15" hidden="false" customHeight="false" outlineLevel="0" collapsed="false">
      <c r="B134" s="13" t="s">
        <v>219</v>
      </c>
      <c r="C134" s="51" t="n">
        <f aca="false">-Assumptions!$F$24-Assumptions!$F$25+Assumptions!$F$26+Assumptions!$F$27+Assumptions!$F$28</f>
        <v>-256018</v>
      </c>
    </row>
    <row r="135" customFormat="false" ht="15" hidden="false" customHeight="false" outlineLevel="0" collapsed="false">
      <c r="B135" s="5" t="s">
        <v>220</v>
      </c>
      <c r="C135" s="51" t="n">
        <f aca="false">C133+C134</f>
        <v>4075766.00516636</v>
      </c>
    </row>
    <row r="136" customFormat="false" ht="15" hidden="false" customHeight="false" outlineLevel="0" collapsed="false">
      <c r="B136" s="13" t="s">
        <v>221</v>
      </c>
      <c r="C136" s="51" t="n">
        <f aca="false">Assumptions!$F$30</f>
        <v>472</v>
      </c>
    </row>
    <row r="137" customFormat="false" ht="15" hidden="false" customHeight="false" outlineLevel="0" collapsed="false">
      <c r="B137" s="5" t="s">
        <v>222</v>
      </c>
      <c r="C137" s="51" t="n">
        <f aca="false">C135-C136</f>
        <v>4075294.00516636</v>
      </c>
    </row>
    <row r="138" customFormat="false" ht="15" hidden="false" customHeight="false" outlineLevel="0" collapsed="false">
      <c r="B138" s="13" t="s">
        <v>223</v>
      </c>
      <c r="C138" s="53" t="n">
        <f aca="false">(C137-Assumptions!$F$27)/Assumptions!$F$29</f>
        <v>1292.94672645754</v>
      </c>
    </row>
    <row r="139" customFormat="false" ht="15" hidden="false" customHeight="false" outlineLevel="0" collapsed="false">
      <c r="B139" s="13" t="s">
        <v>224</v>
      </c>
      <c r="C139" s="54" t="n">
        <f aca="false">Assumptions!$F$29+Assumptions!$F$27/C138</f>
        <v>3151.9427071307</v>
      </c>
    </row>
    <row r="140" customFormat="false" ht="15" hidden="false" customHeight="false" outlineLevel="0" collapsed="false">
      <c r="B140" s="13" t="s">
        <v>225</v>
      </c>
      <c r="C140" s="14" t="n">
        <f aca="false">Assumptions!$F$31/C138</f>
        <v>0.406049212436163</v>
      </c>
    </row>
    <row r="141" customFormat="false" ht="15" hidden="false" customHeight="false" outlineLevel="0" collapsed="false">
      <c r="B141" s="13" t="s">
        <v>226</v>
      </c>
      <c r="C141" s="55" t="n">
        <f aca="false">M117/1000</f>
        <v>1502.1095478418</v>
      </c>
    </row>
    <row r="142" customFormat="false" ht="15" hidden="false" customHeight="false" outlineLevel="0" collapsed="false">
      <c r="B142" s="13" t="s">
        <v>227</v>
      </c>
      <c r="C142" s="14" t="n">
        <f aca="false">M121/(533836+SUM(D123:L123))</f>
        <v>0.509994496402616</v>
      </c>
    </row>
    <row r="149" customFormat="false" ht="15" hidden="false" customHeight="false" outlineLevel="0" collapsed="false">
      <c r="B149" s="56" t="s">
        <v>231</v>
      </c>
      <c r="C149" s="57"/>
      <c r="D149" s="57"/>
      <c r="E149" s="57"/>
      <c r="F149" s="57"/>
      <c r="G149" s="57"/>
      <c r="H149" s="57"/>
      <c r="I149" s="57"/>
      <c r="J149" s="57"/>
      <c r="K149" s="57"/>
      <c r="L149" s="57"/>
      <c r="M149" s="57"/>
      <c r="N149" s="57"/>
    </row>
    <row r="150" customFormat="false" ht="15" hidden="false" customHeight="false" outlineLevel="0" collapsed="false">
      <c r="B150" s="7" t="s">
        <v>68</v>
      </c>
      <c r="C150" s="8" t="s">
        <v>200</v>
      </c>
      <c r="D150" s="8" t="s">
        <v>160</v>
      </c>
      <c r="E150" s="8" t="s">
        <v>161</v>
      </c>
      <c r="F150" s="8" t="s">
        <v>162</v>
      </c>
      <c r="G150" s="8" t="s">
        <v>163</v>
      </c>
      <c r="H150" s="8" t="s">
        <v>164</v>
      </c>
      <c r="I150" s="8" t="s">
        <v>165</v>
      </c>
      <c r="J150" s="8" t="s">
        <v>166</v>
      </c>
      <c r="K150" s="8" t="s">
        <v>167</v>
      </c>
      <c r="L150" s="8" t="s">
        <v>168</v>
      </c>
      <c r="M150" s="8" t="s">
        <v>169</v>
      </c>
      <c r="N150" s="8" t="s">
        <v>201</v>
      </c>
    </row>
    <row r="151" customFormat="false" ht="15" hidden="false" customHeight="false" outlineLevel="0" collapsed="false">
      <c r="B151" s="2" t="s">
        <v>202</v>
      </c>
      <c r="D151" s="2" t="n">
        <v>1</v>
      </c>
      <c r="E151" s="2" t="n">
        <v>2</v>
      </c>
      <c r="F151" s="2" t="n">
        <v>3</v>
      </c>
      <c r="G151" s="2" t="n">
        <v>4</v>
      </c>
      <c r="H151" s="2" t="n">
        <v>5</v>
      </c>
      <c r="I151" s="2" t="n">
        <v>6</v>
      </c>
      <c r="J151" s="2" t="n">
        <v>7</v>
      </c>
      <c r="K151" s="2" t="n">
        <v>8</v>
      </c>
      <c r="L151" s="2" t="n">
        <v>9</v>
      </c>
      <c r="M151" s="2" t="n">
        <v>10</v>
      </c>
    </row>
    <row r="152" customFormat="false" ht="15" hidden="false" customHeight="false" outlineLevel="0" collapsed="false">
      <c r="B152" s="13" t="s">
        <v>203</v>
      </c>
      <c r="C152" s="14"/>
      <c r="D152" s="14" t="n">
        <f aca="false">IF(D$151=1,Assumptions!$G$7,IF(D$151&lt;=5,Assumptions!$G$8,Assumptions!$G$8-((Assumptions!$G$8-Assumptions!$G$18)/5)*(D$151-5)))</f>
        <v>4</v>
      </c>
      <c r="E152" s="14" t="n">
        <f aca="false">IF(E$151=1,Assumptions!$G$7,IF(E$151&lt;=5,Assumptions!$G$8,Assumptions!$G$8-((Assumptions!$G$8-Assumptions!$G$18)/5)*(E$151-5)))</f>
        <v>0.09</v>
      </c>
      <c r="F152" s="14" t="n">
        <f aca="false">IF(F$151=1,Assumptions!$G$7,IF(F$151&lt;=5,Assumptions!$G$8,Assumptions!$G$8-((Assumptions!$G$8-Assumptions!$G$18)/5)*(F$151-5)))</f>
        <v>0.09</v>
      </c>
      <c r="G152" s="14" t="n">
        <f aca="false">IF(G$151=1,Assumptions!$G$7,IF(G$151&lt;=5,Assumptions!$G$8,Assumptions!$G$8-((Assumptions!$G$8-Assumptions!$G$18)/5)*(G$151-5)))</f>
        <v>0.09</v>
      </c>
      <c r="H152" s="14" t="n">
        <f aca="false">IF(H$151=1,Assumptions!$G$7,IF(H$151&lt;=5,Assumptions!$G$8,Assumptions!$G$8-((Assumptions!$G$8-Assumptions!$G$18)/5)*(H$151-5)))</f>
        <v>0.09</v>
      </c>
      <c r="I152" s="14" t="n">
        <f aca="false">IF(I$151=1,Assumptions!$G$7,IF(I$151&lt;=5,Assumptions!$G$8,Assumptions!$G$8-((Assumptions!$G$8-Assumptions!$G$18)/5)*(I$151-5)))</f>
        <v>0.0818</v>
      </c>
      <c r="J152" s="14" t="n">
        <f aca="false">IF(J$151=1,Assumptions!$G$7,IF(J$151&lt;=5,Assumptions!$G$8,Assumptions!$G$8-((Assumptions!$G$8-Assumptions!$G$18)/5)*(J$151-5)))</f>
        <v>0.0736</v>
      </c>
      <c r="K152" s="14" t="n">
        <f aca="false">IF(K$151=1,Assumptions!$G$7,IF(K$151&lt;=5,Assumptions!$G$8,Assumptions!$G$8-((Assumptions!$G$8-Assumptions!$G$18)/5)*(K$151-5)))</f>
        <v>0.0654</v>
      </c>
      <c r="L152" s="14" t="n">
        <f aca="false">IF(L$151=1,Assumptions!$G$7,IF(L$151&lt;=5,Assumptions!$G$8,Assumptions!$G$8-((Assumptions!$G$8-Assumptions!$G$18)/5)*(L$151-5)))</f>
        <v>0.0572</v>
      </c>
      <c r="M152" s="14" t="n">
        <f aca="false">IF(M$151=1,Assumptions!$G$7,IF(M$151&lt;=5,Assumptions!$G$8,Assumptions!$G$8-((Assumptions!$G$8-Assumptions!$G$18)/5)*(M$151-5)))</f>
        <v>0.049</v>
      </c>
      <c r="N152" s="14" t="n">
        <f aca="false">Assumptions!$G$18</f>
        <v>0.049</v>
      </c>
    </row>
    <row r="153" customFormat="false" ht="15" hidden="false" customHeight="false" outlineLevel="0" collapsed="false">
      <c r="B153" s="13" t="s">
        <v>170</v>
      </c>
      <c r="C153" s="46" t="n">
        <f aca="false">Assumptions!$G$6</f>
        <v>20608</v>
      </c>
      <c r="D153" s="51" t="n">
        <f aca="false">C153*(1+D152)</f>
        <v>103040</v>
      </c>
      <c r="E153" s="51" t="n">
        <f aca="false">D153*(1+E152)</f>
        <v>112313.6</v>
      </c>
      <c r="F153" s="51" t="n">
        <f aca="false">E153*(1+F152)</f>
        <v>122421.824</v>
      </c>
      <c r="G153" s="51" t="n">
        <f aca="false">F153*(1+G152)</f>
        <v>133439.78816</v>
      </c>
      <c r="H153" s="51" t="n">
        <f aca="false">G153*(1+H152)</f>
        <v>145449.3690944</v>
      </c>
      <c r="I153" s="51" t="n">
        <f aca="false">H153*(1+I152)</f>
        <v>157347.127486322</v>
      </c>
      <c r="J153" s="51" t="n">
        <f aca="false">I153*(1+J152)</f>
        <v>168927.876069315</v>
      </c>
      <c r="K153" s="51" t="n">
        <f aca="false">J153*(1+K152)</f>
        <v>179975.759164248</v>
      </c>
      <c r="L153" s="51" t="n">
        <f aca="false">K153*(1+L152)</f>
        <v>190270.372588443</v>
      </c>
      <c r="M153" s="51" t="n">
        <f aca="false">L153*(1+M152)</f>
        <v>199593.620845277</v>
      </c>
      <c r="N153" s="51" t="n">
        <f aca="false">M153*(1+N152)</f>
        <v>209373.708266696</v>
      </c>
    </row>
    <row r="154" customFormat="false" ht="15" hidden="false" customHeight="false" outlineLevel="0" collapsed="false">
      <c r="B154" s="13" t="s">
        <v>204</v>
      </c>
      <c r="C154" s="14"/>
      <c r="D154" s="14" t="n">
        <f aca="false">IF(D$151=1,Assumptions!$G$9,IF(D$151&gt;Assumptions!$G$15,Assumptions!$G$14,Assumptions!$G$14-((Assumptions!$G$14-Assumptions!$G$9)*(Assumptions!$G$15-D$151)/Assumptions!$G$15)))</f>
        <v>0.05</v>
      </c>
      <c r="E154" s="14" t="n">
        <f aca="false">IF(E$151=1,Assumptions!$G$9,IF(E$151&gt;Assumptions!$G$15,Assumptions!$G$14,Assumptions!$G$14-((Assumptions!$G$14-Assumptions!$G$9)*(Assumptions!$G$15-E$151)/Assumptions!$G$15)))</f>
        <v>0.01</v>
      </c>
      <c r="F154" s="14" t="n">
        <f aca="false">IF(F$151=1,Assumptions!$G$9,IF(F$151&gt;Assumptions!$G$15,Assumptions!$G$14,Assumptions!$G$14-((Assumptions!$G$14-Assumptions!$G$9)*(Assumptions!$G$15-F$151)/Assumptions!$G$15)))</f>
        <v>-0.01</v>
      </c>
      <c r="G154" s="14" t="n">
        <f aca="false">IF(G$151=1,Assumptions!$G$9,IF(G$151&gt;Assumptions!$G$15,Assumptions!$G$14,Assumptions!$G$14-((Assumptions!$G$14-Assumptions!$G$9)*(Assumptions!$G$15-G$151)/Assumptions!$G$15)))</f>
        <v>-0.03</v>
      </c>
      <c r="H154" s="14" t="n">
        <f aca="false">IF(H$151=1,Assumptions!$G$9,IF(H$151&gt;Assumptions!$G$15,Assumptions!$G$14,Assumptions!$G$14-((Assumptions!$G$14-Assumptions!$G$9)*(Assumptions!$G$15-H$151)/Assumptions!$G$15)))</f>
        <v>-0.05</v>
      </c>
      <c r="I154" s="14" t="n">
        <f aca="false">IF(I$151=1,Assumptions!$G$9,IF(I$151&gt;Assumptions!$G$15,Assumptions!$G$14,Assumptions!$G$14-((Assumptions!$G$14-Assumptions!$G$9)*(Assumptions!$G$15-I$151)/Assumptions!$G$15)))</f>
        <v>-0.05</v>
      </c>
      <c r="J154" s="14" t="n">
        <f aca="false">IF(J$151=1,Assumptions!$G$9,IF(J$151&gt;Assumptions!$G$15,Assumptions!$G$14,Assumptions!$G$14-((Assumptions!$G$14-Assumptions!$G$9)*(Assumptions!$G$15-J$151)/Assumptions!$G$15)))</f>
        <v>-0.05</v>
      </c>
      <c r="K154" s="14" t="n">
        <f aca="false">IF(K$151=1,Assumptions!$G$9,IF(K$151&gt;Assumptions!$G$15,Assumptions!$G$14,Assumptions!$G$14-((Assumptions!$G$14-Assumptions!$G$9)*(Assumptions!$G$15-K$151)/Assumptions!$G$15)))</f>
        <v>-0.05</v>
      </c>
      <c r="L154" s="14" t="n">
        <f aca="false">IF(L$151=1,Assumptions!$G$9,IF(L$151&gt;Assumptions!$G$15,Assumptions!$G$14,Assumptions!$G$14-((Assumptions!$G$14-Assumptions!$G$9)*(Assumptions!$G$15-L$151)/Assumptions!$G$15)))</f>
        <v>-0.05</v>
      </c>
      <c r="M154" s="14" t="n">
        <f aca="false">IF(M$151=1,Assumptions!$G$9,IF(M$151&gt;Assumptions!$G$15,Assumptions!$G$14,Assumptions!$G$14-((Assumptions!$G$14-Assumptions!$G$9)*(Assumptions!$G$15-M$151)/Assumptions!$G$15)))</f>
        <v>-0.05</v>
      </c>
      <c r="N154" s="14" t="n">
        <f aca="false">Assumptions!$G$14</f>
        <v>-0.05</v>
      </c>
    </row>
    <row r="155" customFormat="false" ht="15" hidden="false" customHeight="false" outlineLevel="0" collapsed="false">
      <c r="B155" s="13" t="s">
        <v>205</v>
      </c>
      <c r="C155" s="51"/>
      <c r="D155" s="51" t="n">
        <f aca="false">D153*D154</f>
        <v>5152</v>
      </c>
      <c r="E155" s="51" t="n">
        <f aca="false">E153*E154</f>
        <v>1123.136</v>
      </c>
      <c r="F155" s="51" t="n">
        <f aca="false">F153*F154</f>
        <v>-1224.21824</v>
      </c>
      <c r="G155" s="51" t="n">
        <f aca="false">G153*G154</f>
        <v>-4003.1936448</v>
      </c>
      <c r="H155" s="51" t="n">
        <f aca="false">H153*H154</f>
        <v>-7272.46845472</v>
      </c>
      <c r="I155" s="51" t="n">
        <f aca="false">I153*I154</f>
        <v>-7867.3563743161</v>
      </c>
      <c r="J155" s="51" t="n">
        <f aca="false">J153*J154</f>
        <v>-8446.39380346576</v>
      </c>
      <c r="K155" s="51" t="n">
        <f aca="false">K153*K154</f>
        <v>-8998.78795821242</v>
      </c>
      <c r="L155" s="51" t="n">
        <f aca="false">L153*L154</f>
        <v>-9513.51862942217</v>
      </c>
      <c r="M155" s="51" t="n">
        <f aca="false">M153*M154</f>
        <v>-9979.68104226386</v>
      </c>
      <c r="N155" s="51" t="n">
        <f aca="false">N153*N154</f>
        <v>-10468.6854133348</v>
      </c>
    </row>
    <row r="156" customFormat="false" ht="15" hidden="false" customHeight="false" outlineLevel="0" collapsed="false">
      <c r="B156" s="13" t="s">
        <v>206</v>
      </c>
      <c r="C156" s="14"/>
      <c r="D156" s="14" t="n">
        <f aca="false">IF(D$151&lt;=5,0,Assumptions!$G$21*(D$151-5)/5)</f>
        <v>0</v>
      </c>
      <c r="E156" s="14" t="n">
        <f aca="false">IF(E$151&lt;=5,0,Assumptions!$G$21*(E$151-5)/5)</f>
        <v>0</v>
      </c>
      <c r="F156" s="14" t="n">
        <f aca="false">IF(F$151&lt;=5,0,Assumptions!$G$21*(F$151-5)/5)</f>
        <v>0</v>
      </c>
      <c r="G156" s="14" t="n">
        <f aca="false">IF(G$151&lt;=5,0,Assumptions!$G$21*(G$151-5)/5)</f>
        <v>0</v>
      </c>
      <c r="H156" s="14" t="n">
        <f aca="false">IF(H$151&lt;=5,0,Assumptions!$G$21*(H$151-5)/5)</f>
        <v>0</v>
      </c>
      <c r="I156" s="14" t="n">
        <f aca="false">IF(I$151&lt;=5,0,Assumptions!$G$21*(I$151-5)/5)</f>
        <v>0.05</v>
      </c>
      <c r="J156" s="14" t="n">
        <f aca="false">IF(J$151&lt;=5,0,Assumptions!$G$21*(J$151-5)/5)</f>
        <v>0.1</v>
      </c>
      <c r="K156" s="14" t="n">
        <f aca="false">IF(K$151&lt;=5,0,Assumptions!$G$21*(K$151-5)/5)</f>
        <v>0.15</v>
      </c>
      <c r="L156" s="14" t="n">
        <f aca="false">IF(L$151&lt;=5,0,Assumptions!$G$21*(L$151-5)/5)</f>
        <v>0.2</v>
      </c>
      <c r="M156" s="14" t="n">
        <f aca="false">IF(M$151&lt;=5,0,Assumptions!$G$21*(M$151-5)/5)</f>
        <v>0.25</v>
      </c>
      <c r="N156" s="14" t="n">
        <f aca="false">Assumptions!$G$21</f>
        <v>0.25</v>
      </c>
    </row>
    <row r="157" customFormat="false" ht="15" hidden="false" customHeight="false" outlineLevel="0" collapsed="false">
      <c r="B157" s="13" t="s">
        <v>207</v>
      </c>
      <c r="C157" s="51"/>
      <c r="D157" s="51" t="n">
        <f aca="false">IF(D155&gt;0,IF(D155&lt;C158,D155,D155-(D155-C158)*D156),D155)</f>
        <v>5152</v>
      </c>
      <c r="E157" s="51" t="n">
        <f aca="false">IF(E155&gt;0,IF(E155&lt;D158,E155,E155-(E155-D158)*E156),E155)</f>
        <v>1123.136</v>
      </c>
      <c r="F157" s="51" t="n">
        <f aca="false">IF(F155&gt;0,IF(F155&lt;E158,F155,F155-(F155-E158)*F156),F155)</f>
        <v>-1224.21824</v>
      </c>
      <c r="G157" s="51" t="n">
        <f aca="false">IF(G155&gt;0,IF(G155&lt;F158,G155,G155-(G155-F158)*G156),G155)</f>
        <v>-4003.1936448</v>
      </c>
      <c r="H157" s="51" t="n">
        <f aca="false">IF(H155&gt;0,IF(H155&lt;G158,H155,H155-(H155-G158)*H156),H155)</f>
        <v>-7272.46845472</v>
      </c>
      <c r="I157" s="51" t="n">
        <f aca="false">IF(I155&gt;0,IF(I155&lt;H158,I155,I155-(I155-H158)*I156),I155)</f>
        <v>-7867.3563743161</v>
      </c>
      <c r="J157" s="51" t="n">
        <f aca="false">IF(J155&gt;0,IF(J155&lt;I158,J155,J155-(J155-I158)*J156),J155)</f>
        <v>-8446.39380346576</v>
      </c>
      <c r="K157" s="51" t="n">
        <f aca="false">IF(K155&gt;0,IF(K155&lt;J158,K155,K155-(K155-J158)*K156),K155)</f>
        <v>-8998.78795821242</v>
      </c>
      <c r="L157" s="51" t="n">
        <f aca="false">IF(L155&gt;0,IF(L155&lt;K158,L155,L155-(L155-K158)*L156),L155)</f>
        <v>-9513.51862942217</v>
      </c>
      <c r="M157" s="51" t="n">
        <f aca="false">IF(M155&gt;0,IF(M155&lt;L158,M155,M155-(M155-L158)*M156),M155)</f>
        <v>-9979.68104226386</v>
      </c>
      <c r="N157" s="51" t="n">
        <f aca="false">N155*(1-N156)</f>
        <v>-7851.51406000109</v>
      </c>
    </row>
    <row r="158" customFormat="false" ht="15" hidden="false" customHeight="false" outlineLevel="0" collapsed="false">
      <c r="B158" s="13" t="s">
        <v>208</v>
      </c>
      <c r="C158" s="51" t="n">
        <v>0</v>
      </c>
      <c r="D158" s="51" t="n">
        <f aca="false">IF(D155&lt;0,C158-D155,IF(C158&gt;D155,C158-D155,0))</f>
        <v>0</v>
      </c>
      <c r="E158" s="51" t="n">
        <f aca="false">IF(E155&lt;0,D158-E155,IF(D158&gt;E155,D158-E155,0))</f>
        <v>0</v>
      </c>
      <c r="F158" s="51" t="n">
        <f aca="false">IF(F155&lt;0,E158-F155,IF(E158&gt;F155,E158-F155,0))</f>
        <v>1224.21824</v>
      </c>
      <c r="G158" s="51" t="n">
        <f aca="false">IF(G155&lt;0,F158-G155,IF(F158&gt;G155,F158-G155,0))</f>
        <v>5227.4118848</v>
      </c>
      <c r="H158" s="51" t="n">
        <f aca="false">IF(H155&lt;0,G158-H155,IF(G158&gt;H155,G158-H155,0))</f>
        <v>12499.88033952</v>
      </c>
      <c r="I158" s="51" t="n">
        <f aca="false">IF(I155&lt;0,H158-I155,IF(H158&gt;I155,H158-I155,0))</f>
        <v>20367.2367138361</v>
      </c>
      <c r="J158" s="51" t="n">
        <f aca="false">IF(J155&lt;0,I158-J155,IF(I158&gt;J155,I158-J155,0))</f>
        <v>28813.6305173019</v>
      </c>
      <c r="K158" s="51" t="n">
        <f aca="false">IF(K155&lt;0,J158-K155,IF(J158&gt;K155,J158-K155,0))</f>
        <v>37812.4184755143</v>
      </c>
      <c r="L158" s="51" t="n">
        <f aca="false">IF(L155&lt;0,K158-L155,IF(K158&gt;L155,K158-L155,0))</f>
        <v>47325.9371049365</v>
      </c>
      <c r="M158" s="51" t="n">
        <f aca="false">IF(M155&lt;0,L158-M155,IF(L158&gt;M155,L158-M155,0))</f>
        <v>57305.6181472003</v>
      </c>
      <c r="N158" s="51"/>
    </row>
    <row r="159" customFormat="false" ht="15" hidden="false" customHeight="false" outlineLevel="0" collapsed="false">
      <c r="B159" s="13" t="s">
        <v>209</v>
      </c>
      <c r="C159" s="51"/>
      <c r="D159" s="51" t="n">
        <f aca="false">(E153-D153)/Assumptions!$G$16</f>
        <v>9273.60000000001</v>
      </c>
      <c r="E159" s="51" t="n">
        <f aca="false">(F153-E153)/Assumptions!$G$16</f>
        <v>10108.224</v>
      </c>
      <c r="F159" s="51" t="n">
        <f aca="false">(G153-F153)/Assumptions!$G$16</f>
        <v>11017.96416</v>
      </c>
      <c r="G159" s="51" t="n">
        <f aca="false">(H153-G153)/Assumptions!$G$16</f>
        <v>12009.5809344</v>
      </c>
      <c r="H159" s="51" t="n">
        <f aca="false">(I153-H153)/Assumptions!$G$16</f>
        <v>11897.7583919219</v>
      </c>
      <c r="I159" s="51" t="n">
        <f aca="false">(J153-I153)/Assumptions!$G$16</f>
        <v>11580.7485829933</v>
      </c>
      <c r="J159" s="51" t="n">
        <f aca="false">(K153-J153)/Assumptions!$G$16</f>
        <v>11047.8830949332</v>
      </c>
      <c r="K159" s="51" t="n">
        <f aca="false">(L153-K153)/Assumptions!$G$16</f>
        <v>10294.613424195</v>
      </c>
      <c r="L159" s="51" t="n">
        <f aca="false">(M153-L153)/Assumptions!$G$16</f>
        <v>9323.24825683373</v>
      </c>
      <c r="M159" s="51" t="n">
        <f aca="false">(N153-M153)/Assumptions!$G$16</f>
        <v>9780.08742141858</v>
      </c>
      <c r="N159" s="51" t="n">
        <f aca="false">IF(N152&gt;0,(N152/Assumptions!$G$20)*N157,0)</f>
        <v>-2564.82792626702</v>
      </c>
    </row>
    <row r="160" customFormat="false" ht="15" hidden="false" customHeight="false" outlineLevel="0" collapsed="false">
      <c r="B160" s="13" t="s">
        <v>210</v>
      </c>
      <c r="C160" s="51"/>
      <c r="D160" s="51" t="n">
        <f aca="false">D157-D159</f>
        <v>-4121.60000000001</v>
      </c>
      <c r="E160" s="51" t="n">
        <f aca="false">E157-E159</f>
        <v>-8985.08800000002</v>
      </c>
      <c r="F160" s="51" t="n">
        <f aca="false">F157-F159</f>
        <v>-12242.1824</v>
      </c>
      <c r="G160" s="51" t="n">
        <f aca="false">G157-G159</f>
        <v>-16012.7745792</v>
      </c>
      <c r="H160" s="51" t="n">
        <f aca="false">H157-H159</f>
        <v>-19170.2268466419</v>
      </c>
      <c r="I160" s="51" t="n">
        <f aca="false">I157-I159</f>
        <v>-19448.1049573094</v>
      </c>
      <c r="J160" s="51" t="n">
        <f aca="false">J157-J159</f>
        <v>-19494.276898399</v>
      </c>
      <c r="K160" s="51" t="n">
        <f aca="false">K157-K159</f>
        <v>-19293.4013824074</v>
      </c>
      <c r="L160" s="51" t="n">
        <f aca="false">L157-L159</f>
        <v>-18836.7668862559</v>
      </c>
      <c r="M160" s="51" t="n">
        <f aca="false">M157-M159</f>
        <v>-19759.7684636824</v>
      </c>
      <c r="N160" s="51" t="n">
        <f aca="false">N157-N159</f>
        <v>-5286.68613373407</v>
      </c>
    </row>
    <row r="161" customFormat="false" ht="15" hidden="false" customHeight="false" outlineLevel="0" collapsed="false">
      <c r="B161" s="13" t="s">
        <v>211</v>
      </c>
      <c r="C161" s="14"/>
      <c r="D161" s="14" t="n">
        <f aca="false">IF(D$151&lt;=5,Assumptions!$G$17,Assumptions!$G$17-((Assumptions!$G$17-Assumptions!$G$19)/5)*(D$151-5))</f>
        <v>0.0988</v>
      </c>
      <c r="E161" s="14" t="n">
        <f aca="false">IF(E$151&lt;=5,Assumptions!$G$17,Assumptions!$G$17-((Assumptions!$G$17-Assumptions!$G$19)/5)*(E$151-5))</f>
        <v>0.0988</v>
      </c>
      <c r="F161" s="14" t="n">
        <f aca="false">IF(F$151&lt;=5,Assumptions!$G$17,Assumptions!$G$17-((Assumptions!$G$17-Assumptions!$G$19)/5)*(F$151-5))</f>
        <v>0.0988</v>
      </c>
      <c r="G161" s="14" t="n">
        <f aca="false">IF(G$151&lt;=5,Assumptions!$G$17,Assumptions!$G$17-((Assumptions!$G$17-Assumptions!$G$19)/5)*(G$151-5))</f>
        <v>0.0988</v>
      </c>
      <c r="H161" s="14" t="n">
        <f aca="false">IF(H$151&lt;=5,Assumptions!$G$17,Assumptions!$G$17-((Assumptions!$G$17-Assumptions!$G$19)/5)*(H$151-5))</f>
        <v>0.0988</v>
      </c>
      <c r="I161" s="14" t="n">
        <f aca="false">IF(I$151&lt;=5,Assumptions!$G$17,Assumptions!$G$17-((Assumptions!$G$17-Assumptions!$G$19)/5)*(I$151-5))</f>
        <v>0.0973</v>
      </c>
      <c r="J161" s="14" t="n">
        <f aca="false">IF(J$151&lt;=5,Assumptions!$G$17,Assumptions!$G$17-((Assumptions!$G$17-Assumptions!$G$19)/5)*(J$151-5))</f>
        <v>0.0958</v>
      </c>
      <c r="K161" s="14" t="n">
        <f aca="false">IF(K$151&lt;=5,Assumptions!$G$17,Assumptions!$G$17-((Assumptions!$G$17-Assumptions!$G$19)/5)*(K$151-5))</f>
        <v>0.0943</v>
      </c>
      <c r="L161" s="14" t="n">
        <f aca="false">IF(L$151&lt;=5,Assumptions!$G$17,Assumptions!$G$17-((Assumptions!$G$17-Assumptions!$G$19)/5)*(L$151-5))</f>
        <v>0.0928</v>
      </c>
      <c r="M161" s="14" t="n">
        <f aca="false">IF(M$151&lt;=5,Assumptions!$G$17,Assumptions!$G$17-((Assumptions!$G$17-Assumptions!$G$19)/5)*(M$151-5))</f>
        <v>0.0913</v>
      </c>
      <c r="N161" s="14" t="n">
        <f aca="false">Assumptions!$G$19</f>
        <v>0.0913</v>
      </c>
    </row>
    <row r="162" customFormat="false" ht="15" hidden="false" customHeight="false" outlineLevel="0" collapsed="false">
      <c r="B162" s="13" t="s">
        <v>212</v>
      </c>
      <c r="C162" s="52"/>
      <c r="D162" s="52" t="n">
        <f aca="false">1/(1+D161)</f>
        <v>0.910083727702949</v>
      </c>
      <c r="E162" s="52" t="n">
        <f aca="false">D162/(1+E161)</f>
        <v>0.828252391429695</v>
      </c>
      <c r="F162" s="52" t="n">
        <f aca="false">E162/(1+F161)</f>
        <v>0.753779023871218</v>
      </c>
      <c r="G162" s="52" t="n">
        <f aca="false">F162/(1+G161)</f>
        <v>0.686002023909008</v>
      </c>
      <c r="H162" s="52" t="n">
        <f aca="false">G162/(1+H161)</f>
        <v>0.624319279130878</v>
      </c>
      <c r="I162" s="52" t="n">
        <f aca="false">H162/(1+I161)</f>
        <v>0.568959518026864</v>
      </c>
      <c r="J162" s="52" t="n">
        <f aca="false">I162/(1+J161)</f>
        <v>0.51921839571716</v>
      </c>
      <c r="K162" s="52" t="n">
        <f aca="false">J162/(1+K161)</f>
        <v>0.474475368470401</v>
      </c>
      <c r="L162" s="52" t="n">
        <f aca="false">K162/(1+L161)</f>
        <v>0.434183170269401</v>
      </c>
      <c r="M162" s="52" t="n">
        <f aca="false">L162/(1+M161)</f>
        <v>0.397858673388986</v>
      </c>
      <c r="N162" s="52"/>
    </row>
    <row r="163" customFormat="false" ht="15" hidden="false" customHeight="false" outlineLevel="0" collapsed="false">
      <c r="B163" s="13" t="s">
        <v>213</v>
      </c>
      <c r="C163" s="51"/>
      <c r="D163" s="51" t="n">
        <f aca="false">D160*D162</f>
        <v>-3751.00109210048</v>
      </c>
      <c r="E163" s="51" t="n">
        <f aca="false">E160*E162</f>
        <v>-7441.92062320627</v>
      </c>
      <c r="F163" s="51" t="n">
        <f aca="false">F160*F162</f>
        <v>-9227.90029952541</v>
      </c>
      <c r="G163" s="51" t="n">
        <f aca="false">G160*G162</f>
        <v>-10984.7957697299</v>
      </c>
      <c r="H163" s="51" t="n">
        <f aca="false">H160*H162</f>
        <v>-11968.3422056709</v>
      </c>
      <c r="I163" s="51" t="n">
        <f aca="false">I160*I162</f>
        <v>-11065.1844230466</v>
      </c>
      <c r="J163" s="51" t="n">
        <f aca="false">J160*J162</f>
        <v>-10121.7871768528</v>
      </c>
      <c r="K163" s="51" t="n">
        <f aca="false">K160*K162</f>
        <v>-9154.24372996511</v>
      </c>
      <c r="L163" s="51" t="n">
        <f aca="false">L160*L162</f>
        <v>-8178.60716430025</v>
      </c>
      <c r="M163" s="51" t="n">
        <f aca="false">M160*M162</f>
        <v>-7861.59526743422</v>
      </c>
      <c r="N163" s="51"/>
    </row>
    <row r="165" customFormat="false" ht="15" hidden="false" customHeight="false" outlineLevel="0" collapsed="false">
      <c r="B165" s="13" t="s">
        <v>214</v>
      </c>
      <c r="C165" s="51" t="n">
        <f aca="false">N160/(N161-N152)</f>
        <v>-124980.759662744</v>
      </c>
    </row>
    <row r="166" customFormat="false" ht="15" hidden="false" customHeight="false" outlineLevel="0" collapsed="false">
      <c r="B166" s="13" t="s">
        <v>215</v>
      </c>
      <c r="C166" s="51" t="n">
        <f aca="false">C165*M162</f>
        <v>-49724.679238567</v>
      </c>
    </row>
    <row r="167" customFormat="false" ht="15" hidden="false" customHeight="false" outlineLevel="0" collapsed="false">
      <c r="B167" s="13" t="s">
        <v>216</v>
      </c>
      <c r="C167" s="51" t="n">
        <f aca="false">SUM(D163:M163)</f>
        <v>-89755.377751832</v>
      </c>
    </row>
    <row r="168" customFormat="false" ht="15" hidden="false" customHeight="false" outlineLevel="0" collapsed="false">
      <c r="B168" s="13" t="s">
        <v>217</v>
      </c>
      <c r="C168" s="51" t="n">
        <f aca="false">C166+C167</f>
        <v>-139480.056990399</v>
      </c>
    </row>
    <row r="169" customFormat="false" ht="15" hidden="false" customHeight="false" outlineLevel="0" collapsed="false">
      <c r="B169" s="13" t="s">
        <v>218</v>
      </c>
      <c r="C169" s="51" t="n">
        <f aca="false">C168*(1-Assumptions!$G$22)+C168*Assumptions!$G$23*Assumptions!$G$22</f>
        <v>-132506.054140879</v>
      </c>
    </row>
    <row r="170" customFormat="false" ht="15" hidden="false" customHeight="false" outlineLevel="0" collapsed="false">
      <c r="B170" s="13" t="s">
        <v>219</v>
      </c>
      <c r="C170" s="51" t="n">
        <f aca="false">-Assumptions!$G$24-Assumptions!$G$25+Assumptions!$G$26+Assumptions!$G$27+Assumptions!$G$28</f>
        <v>-256018</v>
      </c>
    </row>
    <row r="171" customFormat="false" ht="15" hidden="false" customHeight="false" outlineLevel="0" collapsed="false">
      <c r="B171" s="5" t="s">
        <v>220</v>
      </c>
      <c r="C171" s="51" t="n">
        <f aca="false">C169+C170</f>
        <v>-388524.054140879</v>
      </c>
    </row>
    <row r="172" customFormat="false" ht="15" hidden="false" customHeight="false" outlineLevel="0" collapsed="false">
      <c r="B172" s="13" t="s">
        <v>221</v>
      </c>
      <c r="C172" s="51" t="n">
        <f aca="false">Assumptions!$G$30</f>
        <v>472</v>
      </c>
    </row>
    <row r="173" customFormat="false" ht="15" hidden="false" customHeight="false" outlineLevel="0" collapsed="false">
      <c r="B173" s="5" t="s">
        <v>222</v>
      </c>
      <c r="C173" s="51" t="n">
        <f aca="false">C171-C172</f>
        <v>-388996.054140879</v>
      </c>
    </row>
    <row r="174" customFormat="false" ht="15" hidden="false" customHeight="false" outlineLevel="0" collapsed="false">
      <c r="B174" s="13" t="s">
        <v>223</v>
      </c>
      <c r="C174" s="53" t="n">
        <f aca="false">(C173-Assumptions!$G$27)/Assumptions!$G$29</f>
        <v>-159.04379566151</v>
      </c>
    </row>
    <row r="175" customFormat="false" ht="15" hidden="false" customHeight="false" outlineLevel="0" collapsed="false">
      <c r="B175" s="13" t="s">
        <v>224</v>
      </c>
      <c r="C175" s="54" t="n">
        <f aca="false">Assumptions!$G$29+Assumptions!$G$27/C174</f>
        <v>2445.84237016559</v>
      </c>
    </row>
    <row r="176" customFormat="false" ht="15" hidden="false" customHeight="false" outlineLevel="0" collapsed="false">
      <c r="B176" s="13" t="s">
        <v>225</v>
      </c>
      <c r="C176" s="14" t="n">
        <f aca="false">Assumptions!$G$31/C174</f>
        <v>-3.30097755663067</v>
      </c>
    </row>
    <row r="177" customFormat="false" ht="15" hidden="false" customHeight="false" outlineLevel="0" collapsed="false">
      <c r="B177" s="13" t="s">
        <v>226</v>
      </c>
      <c r="C177" s="55" t="n">
        <f aca="false">M153/1000</f>
        <v>199.593620845277</v>
      </c>
    </row>
    <row r="178" customFormat="false" ht="15" hidden="false" customHeight="false" outlineLevel="0" collapsed="false">
      <c r="B178" s="13" t="s">
        <v>227</v>
      </c>
      <c r="C178" s="14" t="n">
        <f aca="false">M157/(533836+SUM(D159:L159))</f>
        <v>-0.0158309729606308</v>
      </c>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0"/>
    <col collapsed="false" customWidth="true" hidden="false" outlineLevel="0" max="3" min="3" style="0" width="18"/>
    <col collapsed="false" customWidth="true" hidden="false" outlineLevel="0" max="4" min="4" style="0" width="16"/>
    <col collapsed="false" customWidth="true" hidden="false" outlineLevel="0" max="7" min="5" style="0" width="20"/>
    <col collapsed="false" customWidth="true" hidden="false" outlineLevel="0" max="8" min="8" style="0" width="70"/>
  </cols>
  <sheetData>
    <row r="2" customFormat="false" ht="17.35" hidden="false" customHeight="false" outlineLevel="0" collapsed="false">
      <c r="B2" s="1" t="s">
        <v>232</v>
      </c>
      <c r="C2" s="1"/>
      <c r="D2" s="1"/>
      <c r="E2" s="1"/>
      <c r="F2" s="1"/>
      <c r="G2" s="1"/>
      <c r="H2" s="1"/>
      <c r="I2" s="1"/>
    </row>
    <row r="5" customFormat="false" ht="15" hidden="false" customHeight="false" outlineLevel="0" collapsed="false">
      <c r="B5" s="7" t="s">
        <v>233</v>
      </c>
      <c r="C5" s="8" t="s">
        <v>234</v>
      </c>
      <c r="D5" s="8" t="s">
        <v>235</v>
      </c>
      <c r="E5" s="8" t="s">
        <v>236</v>
      </c>
      <c r="F5" s="8" t="s">
        <v>237</v>
      </c>
      <c r="G5" s="8" t="s">
        <v>238</v>
      </c>
      <c r="H5" s="8" t="s">
        <v>239</v>
      </c>
    </row>
    <row r="6" customFormat="false" ht="22.35" hidden="false" customHeight="false" outlineLevel="0" collapsed="false">
      <c r="B6" s="5" t="s">
        <v>240</v>
      </c>
      <c r="C6" s="9" t="n">
        <v>0.25</v>
      </c>
      <c r="D6" s="10" t="n">
        <v>0.25</v>
      </c>
      <c r="E6" s="46" t="n">
        <f aca="false">DCF!$C$135</f>
        <v>4075766.00516636</v>
      </c>
      <c r="F6" s="46" t="n">
        <f aca="false">DCF!$C$135</f>
        <v>4075766.00516636</v>
      </c>
      <c r="G6" s="46" t="n">
        <f aca="false">DCF!$C$135</f>
        <v>4075766.00516636</v>
      </c>
      <c r="H6" s="4" t="s">
        <v>241</v>
      </c>
    </row>
    <row r="7" customFormat="false" ht="15" hidden="false" customHeight="false" outlineLevel="0" collapsed="false">
      <c r="B7" s="5" t="s">
        <v>200</v>
      </c>
      <c r="C7" s="9" t="n">
        <v>0.5</v>
      </c>
      <c r="D7" s="10" t="n">
        <v>0.5</v>
      </c>
      <c r="E7" s="46" t="n">
        <f aca="false">DCF!$C$27</f>
        <v>1364747.95491056</v>
      </c>
      <c r="F7" s="46" t="n">
        <f aca="false">DCF!$C$63</f>
        <v>1475878.35181291</v>
      </c>
      <c r="G7" s="46" t="n">
        <f aca="false">DCF!$C$99</f>
        <v>1364747.95491056</v>
      </c>
      <c r="H7" s="4" t="s">
        <v>242</v>
      </c>
    </row>
    <row r="8" customFormat="false" ht="22.35" hidden="false" customHeight="false" outlineLevel="0" collapsed="false">
      <c r="B8" s="5" t="s">
        <v>243</v>
      </c>
      <c r="C8" s="9" t="n">
        <v>0.25</v>
      </c>
      <c r="D8" s="10" t="n">
        <v>0.25</v>
      </c>
      <c r="E8" s="46" t="n">
        <f aca="false">DCF!$C$171</f>
        <v>-388524.054140879</v>
      </c>
      <c r="F8" s="46" t="n">
        <f aca="false">DCF!$C$171</f>
        <v>-388524.054140879</v>
      </c>
      <c r="G8" s="46" t="n">
        <f aca="false">DCF!$C$171</f>
        <v>-388524.054140879</v>
      </c>
      <c r="H8" s="4" t="s">
        <v>244</v>
      </c>
    </row>
    <row r="9" customFormat="false" ht="15" hidden="false" customHeight="false" outlineLevel="0" collapsed="false">
      <c r="B9" s="2" t="s">
        <v>245</v>
      </c>
      <c r="C9" s="14" t="n">
        <f aca="false">SUM(C6:C8)</f>
        <v>1</v>
      </c>
      <c r="D9" s="14" t="n">
        <f aca="false">SUM(D6:D8)</f>
        <v>1</v>
      </c>
    </row>
    <row r="10" customFormat="false" ht="15" hidden="false" customHeight="false" outlineLevel="0" collapsed="false">
      <c r="B10" s="5" t="s">
        <v>246</v>
      </c>
      <c r="E10" s="58" t="n">
        <f aca="false">SUMPRODUCT($C$6:$C$8,E6:E8)</f>
        <v>1604184.46521165</v>
      </c>
      <c r="F10" s="58" t="n">
        <f aca="false">SUMPRODUCT($C$6:$C$8,F6:F8)</f>
        <v>1659749.66366283</v>
      </c>
      <c r="G10" s="58" t="n">
        <f aca="false">SUMPRODUCT($D$6:$D$8,G6:G8)</f>
        <v>1604184.46521165</v>
      </c>
    </row>
    <row r="11" customFormat="false" ht="15" hidden="false" customHeight="false" outlineLevel="0" collapsed="false">
      <c r="B11" s="2" t="s">
        <v>247</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0"/>
    <col collapsed="false" customWidth="true" hidden="false" outlineLevel="0" max="3" min="3" style="0" width="18"/>
    <col collapsed="false" customWidth="true" hidden="false" outlineLevel="0" max="4" min="4" style="0" width="16"/>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8" min="8" style="0" width="60"/>
  </cols>
  <sheetData>
    <row r="2" customFormat="false" ht="17.35" hidden="false" customHeight="false" outlineLevel="0" collapsed="false">
      <c r="B2" s="1" t="s">
        <v>248</v>
      </c>
      <c r="C2" s="1"/>
      <c r="D2" s="1"/>
      <c r="E2" s="1"/>
      <c r="F2" s="1"/>
      <c r="G2" s="1"/>
      <c r="H2" s="1"/>
      <c r="I2" s="1"/>
      <c r="J2" s="1"/>
      <c r="K2" s="1"/>
    </row>
    <row r="5" customFormat="false" ht="15" hidden="false" customHeight="false" outlineLevel="0" collapsed="false">
      <c r="B5" s="7" t="s">
        <v>249</v>
      </c>
      <c r="C5" s="8" t="s">
        <v>250</v>
      </c>
      <c r="D5" s="8" t="s">
        <v>251</v>
      </c>
      <c r="E5" s="8" t="s">
        <v>252</v>
      </c>
      <c r="F5" s="8" t="s">
        <v>253</v>
      </c>
      <c r="G5" s="8" t="s">
        <v>254</v>
      </c>
      <c r="H5" s="8" t="s">
        <v>255</v>
      </c>
    </row>
    <row r="6" customFormat="false" ht="15" hidden="false" customHeight="false" outlineLevel="0" collapsed="false">
      <c r="B6" s="5" t="s">
        <v>256</v>
      </c>
      <c r="C6" s="59" t="s">
        <v>257</v>
      </c>
      <c r="D6" s="19" t="n">
        <v>3945884</v>
      </c>
      <c r="E6" s="19" t="n">
        <v>331839</v>
      </c>
      <c r="F6" s="60" t="n">
        <f aca="false">IF(AND(ISNUMBER(D6),ISNUMBER(E6),E6&gt;0),D6/E6,"n/a")</f>
        <v>11.8909591699589</v>
      </c>
      <c r="G6" s="17" t="n">
        <v>1</v>
      </c>
      <c r="H6" s="2" t="s">
        <v>258</v>
      </c>
    </row>
    <row r="7" customFormat="false" ht="15" hidden="false" customHeight="false" outlineLevel="0" collapsed="false">
      <c r="B7" s="5" t="s">
        <v>259</v>
      </c>
      <c r="C7" s="59" t="s">
        <v>260</v>
      </c>
      <c r="D7" s="19" t="n">
        <v>3899967</v>
      </c>
      <c r="E7" s="19" t="n">
        <v>446320</v>
      </c>
      <c r="F7" s="60" t="n">
        <f aca="false">IF(AND(ISNUMBER(D7),ISNUMBER(E7),E7&gt;0),D7/E7,"n/a")</f>
        <v>8.73805117404553</v>
      </c>
      <c r="G7" s="17" t="n">
        <v>1</v>
      </c>
      <c r="H7" s="2" t="s">
        <v>261</v>
      </c>
    </row>
    <row r="8" customFormat="false" ht="15" hidden="false" customHeight="false" outlineLevel="0" collapsed="false">
      <c r="B8" s="5" t="s">
        <v>262</v>
      </c>
      <c r="C8" s="59" t="s">
        <v>263</v>
      </c>
      <c r="D8" s="19" t="n">
        <v>1585355</v>
      </c>
      <c r="E8" s="19" t="n">
        <v>241600</v>
      </c>
      <c r="F8" s="60" t="n">
        <f aca="false">IF(AND(ISNUMBER(D8),ISNUMBER(E8),E8&gt;0),D8/E8,"n/a")</f>
        <v>6.56189983443709</v>
      </c>
      <c r="G8" s="17" t="n">
        <v>1</v>
      </c>
      <c r="H8" s="2" t="s">
        <v>264</v>
      </c>
    </row>
    <row r="9" customFormat="false" ht="15" hidden="false" customHeight="false" outlineLevel="0" collapsed="false">
      <c r="B9" s="5" t="s">
        <v>265</v>
      </c>
      <c r="C9" s="59" t="s">
        <v>266</v>
      </c>
      <c r="D9" s="19" t="n">
        <v>5252354</v>
      </c>
      <c r="E9" s="19" t="n">
        <v>215938</v>
      </c>
      <c r="F9" s="60" t="n">
        <f aca="false">IF(AND(ISNUMBER(D9),ISNUMBER(E9),E9&gt;0),D9/E9,"n/a")</f>
        <v>24.3234354305402</v>
      </c>
      <c r="G9" s="17" t="n">
        <v>1</v>
      </c>
      <c r="H9" s="2" t="s">
        <v>267</v>
      </c>
    </row>
    <row r="10" customFormat="false" ht="15" hidden="false" customHeight="false" outlineLevel="0" collapsed="false">
      <c r="B10" s="5" t="s">
        <v>268</v>
      </c>
      <c r="C10" s="59" t="s">
        <v>269</v>
      </c>
      <c r="D10" s="19" t="n">
        <v>477560</v>
      </c>
      <c r="E10" s="19" t="n">
        <v>8154</v>
      </c>
      <c r="F10" s="60" t="n">
        <f aca="false">IF(AND(ISNUMBER(D10),ISNUMBER(E10),E10&gt;0),D10/E10,"n/a")</f>
        <v>58.5675741967133</v>
      </c>
      <c r="G10" s="17" t="n">
        <v>1</v>
      </c>
      <c r="H10" s="2" t="s">
        <v>270</v>
      </c>
    </row>
    <row r="12" customFormat="false" ht="15" hidden="false" customHeight="false" outlineLevel="0" collapsed="false">
      <c r="B12" s="5" t="s">
        <v>271</v>
      </c>
      <c r="F12" s="60" t="n">
        <f aca="false" t="array" ref="F12:F12">IFERROR(MEDIAN(IF(($G$6:$G$10=1)*ISNUMBER($F$6:$F$10),$F$6:$F$10)),"pending")</f>
        <v>11.8909591699589</v>
      </c>
    </row>
    <row r="13" customFormat="false" ht="15" hidden="false" customHeight="false" outlineLevel="0" collapsed="false">
      <c r="B13" s="13" t="s">
        <v>272</v>
      </c>
      <c r="F13" s="17"/>
    </row>
    <row r="14" customFormat="false" ht="15" hidden="false" customHeight="false" outlineLevel="0" collapsed="false">
      <c r="B14" s="5" t="s">
        <v>273</v>
      </c>
      <c r="F14" s="60" t="n">
        <f aca="false">IF(ISNUMBER(F13),F13,F12)</f>
        <v>11.8909591699589</v>
      </c>
    </row>
    <row r="16" customFormat="false" ht="22.35" hidden="false" customHeight="false" outlineLevel="0" collapsed="false">
      <c r="B16" s="7" t="s">
        <v>274</v>
      </c>
      <c r="C16" s="8" t="s">
        <v>275</v>
      </c>
      <c r="D16" s="8" t="s">
        <v>276</v>
      </c>
      <c r="E16" s="8" t="s">
        <v>55</v>
      </c>
      <c r="F16" s="8"/>
      <c r="G16" s="8"/>
      <c r="H16" s="8" t="s">
        <v>277</v>
      </c>
    </row>
    <row r="17" customFormat="false" ht="15" hidden="false" customHeight="true" outlineLevel="0" collapsed="false">
      <c r="B17" s="0" t="s">
        <v>278</v>
      </c>
      <c r="C17" s="46" t="n">
        <f aca="false">DCF!$D$9</f>
        <v>98540</v>
      </c>
      <c r="D17" s="46" t="n">
        <f aca="false">DCF!$D$45</f>
        <v>103040</v>
      </c>
      <c r="E17" s="46" t="n">
        <f aca="false">DCF!$D$81</f>
        <v>98540</v>
      </c>
      <c r="H17" s="16" t="s">
        <v>279</v>
      </c>
    </row>
    <row r="18" customFormat="false" ht="15" hidden="false" customHeight="false" outlineLevel="0" collapsed="false">
      <c r="B18" s="13" t="s">
        <v>280</v>
      </c>
      <c r="C18" s="60" t="n">
        <f aca="false">$F$14</f>
        <v>11.8909591699589</v>
      </c>
      <c r="D18" s="60" t="n">
        <f aca="false">$F$14</f>
        <v>11.8909591699589</v>
      </c>
      <c r="E18" s="60" t="n">
        <f aca="false">$F$14</f>
        <v>11.8909591699589</v>
      </c>
      <c r="H18" s="16"/>
    </row>
    <row r="19" customFormat="false" ht="15" hidden="false" customHeight="false" outlineLevel="0" collapsed="false">
      <c r="B19" s="5" t="s">
        <v>281</v>
      </c>
      <c r="C19" s="58" t="n">
        <f aca="false">IFERROR(C17*C18,"pending")</f>
        <v>1171735.11660775</v>
      </c>
      <c r="D19" s="58" t="n">
        <f aca="false">IFERROR(D17*D18,"pending")</f>
        <v>1225244.43287257</v>
      </c>
      <c r="E19" s="58" t="n">
        <f aca="false">IFERROR(E17*E18,"pending")</f>
        <v>1171735.11660775</v>
      </c>
      <c r="H19" s="16"/>
    </row>
    <row r="20" customFormat="false" ht="15" hidden="false" customHeight="false" outlineLevel="0" collapsed="false">
      <c r="H20" s="16"/>
    </row>
    <row r="21" customFormat="false" ht="15" hidden="false" customHeight="false" outlineLevel="0" collapsed="false">
      <c r="H21" s="16"/>
    </row>
    <row r="22" customFormat="false" ht="15" hidden="false" customHeight="false" outlineLevel="0" collapsed="false">
      <c r="H22" s="16"/>
    </row>
    <row r="24" customFormat="false" ht="15" hidden="false" customHeight="false" outlineLevel="0" collapsed="false">
      <c r="B24" s="2" t="s">
        <v>282</v>
      </c>
    </row>
  </sheetData>
  <mergeCells count="2">
    <mergeCell ref="B2:K2"/>
    <mergeCell ref="H17: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9" min="3" style="0" width="13"/>
  </cols>
  <sheetData>
    <row r="2" customFormat="false" ht="17.35" hidden="false" customHeight="false" outlineLevel="0" collapsed="false">
      <c r="B2" s="1" t="s">
        <v>283</v>
      </c>
      <c r="C2" s="1"/>
      <c r="D2" s="1"/>
      <c r="E2" s="1"/>
      <c r="F2" s="1"/>
      <c r="G2" s="1"/>
      <c r="H2" s="1"/>
      <c r="I2" s="1"/>
    </row>
    <row r="5" customFormat="false" ht="15" hidden="false" customHeight="false" outlineLevel="0" collapsed="false">
      <c r="B5" s="5" t="s">
        <v>284</v>
      </c>
    </row>
    <row r="6" customFormat="false" ht="15" hidden="false" customHeight="false" outlineLevel="0" collapsed="false">
      <c r="B6" s="2" t="s">
        <v>285</v>
      </c>
      <c r="C6" s="61" t="n">
        <v>0.268</v>
      </c>
      <c r="D6" s="61" t="n">
        <v>0.3671</v>
      </c>
      <c r="E6" s="61" t="n">
        <v>0.42</v>
      </c>
      <c r="F6" s="61" t="n">
        <v>0.46</v>
      </c>
      <c r="G6" s="61" t="n">
        <v>0.5125</v>
      </c>
    </row>
    <row r="7" customFormat="false" ht="15" hidden="false" customHeight="false" outlineLevel="0" collapsed="false">
      <c r="B7" s="62" t="n">
        <v>0.1</v>
      </c>
      <c r="C7" s="12" t="n">
        <v>2</v>
      </c>
      <c r="D7" s="12" t="n">
        <v>121</v>
      </c>
      <c r="E7" s="12" t="n">
        <v>206</v>
      </c>
      <c r="F7" s="12" t="n">
        <v>281</v>
      </c>
      <c r="G7" s="12" t="n">
        <v>398</v>
      </c>
    </row>
    <row r="8" customFormat="false" ht="15" hidden="false" customHeight="false" outlineLevel="0" collapsed="false">
      <c r="B8" s="62" t="n">
        <v>0.175</v>
      </c>
      <c r="C8" s="12" t="n">
        <v>259</v>
      </c>
      <c r="D8" s="12" t="n">
        <v>519</v>
      </c>
      <c r="E8" s="12" t="n">
        <v>702</v>
      </c>
      <c r="F8" s="12" t="n">
        <v>867</v>
      </c>
      <c r="G8" s="12" t="n">
        <v>1121</v>
      </c>
    </row>
    <row r="9" customFormat="false" ht="15" hidden="false" customHeight="false" outlineLevel="0" collapsed="false">
      <c r="B9" s="62" t="n">
        <v>0.25</v>
      </c>
      <c r="C9" s="12" t="n">
        <v>517</v>
      </c>
      <c r="D9" s="12" t="n">
        <v>916</v>
      </c>
      <c r="E9" s="12" t="n">
        <v>1199</v>
      </c>
      <c r="F9" s="12" t="n">
        <v>1452</v>
      </c>
      <c r="G9" s="12" t="n">
        <v>1844</v>
      </c>
    </row>
    <row r="10" customFormat="false" ht="15" hidden="false" customHeight="false" outlineLevel="0" collapsed="false">
      <c r="B10" s="62" t="n">
        <v>0.275</v>
      </c>
      <c r="C10" s="12" t="n">
        <v>603</v>
      </c>
      <c r="D10" s="12" t="n">
        <v>1049</v>
      </c>
      <c r="E10" s="63" t="n">
        <v>1365</v>
      </c>
      <c r="F10" s="12" t="n">
        <v>1647</v>
      </c>
      <c r="G10" s="12" t="n">
        <v>2084</v>
      </c>
    </row>
    <row r="11" customFormat="false" ht="15" hidden="false" customHeight="false" outlineLevel="0" collapsed="false">
      <c r="B11" s="62" t="n">
        <v>0.325</v>
      </c>
      <c r="C11" s="12" t="n">
        <v>774</v>
      </c>
      <c r="D11" s="12" t="n">
        <v>1314</v>
      </c>
      <c r="E11" s="12" t="n">
        <v>1696</v>
      </c>
      <c r="F11" s="12" t="n">
        <v>2038</v>
      </c>
      <c r="G11" s="12" t="n">
        <v>2566</v>
      </c>
    </row>
    <row r="12" customFormat="false" ht="15" hidden="false" customHeight="false" outlineLevel="0" collapsed="false">
      <c r="B12" s="62" t="n">
        <v>0.4</v>
      </c>
      <c r="C12" s="12" t="n">
        <v>1032</v>
      </c>
      <c r="D12" s="12" t="n">
        <v>1712</v>
      </c>
      <c r="E12" s="12" t="n">
        <v>2193</v>
      </c>
      <c r="F12" s="12" t="n">
        <v>2623</v>
      </c>
      <c r="G12" s="12" t="n">
        <v>3289</v>
      </c>
    </row>
    <row r="14" customFormat="false" ht="15" hidden="false" customHeight="false" outlineLevel="0" collapsed="false">
      <c r="B14" s="5" t="s">
        <v>286</v>
      </c>
    </row>
    <row r="15" customFormat="false" ht="15" hidden="false" customHeight="false" outlineLevel="0" collapsed="false">
      <c r="B15" s="2" t="s">
        <v>287</v>
      </c>
      <c r="C15" s="64" t="n">
        <v>1</v>
      </c>
      <c r="D15" s="64" t="n">
        <v>1.5</v>
      </c>
      <c r="E15" s="64" t="n">
        <v>2.5</v>
      </c>
      <c r="F15" s="64" t="n">
        <v>3</v>
      </c>
      <c r="G15" s="64" t="n">
        <v>4</v>
      </c>
    </row>
    <row r="16" customFormat="false" ht="15" hidden="false" customHeight="false" outlineLevel="0" collapsed="false">
      <c r="B16" s="62" t="n">
        <v>0.1</v>
      </c>
      <c r="C16" s="12" t="n">
        <v>-114</v>
      </c>
      <c r="D16" s="12" t="n">
        <v>64</v>
      </c>
      <c r="E16" s="12" t="n">
        <v>206</v>
      </c>
      <c r="F16" s="12" t="n">
        <v>241</v>
      </c>
      <c r="G16" s="12" t="n">
        <v>286</v>
      </c>
    </row>
    <row r="17" customFormat="false" ht="15" hidden="false" customHeight="false" outlineLevel="0" collapsed="false">
      <c r="B17" s="62" t="n">
        <v>0.175</v>
      </c>
      <c r="C17" s="12" t="n">
        <v>383</v>
      </c>
      <c r="D17" s="12" t="n">
        <v>560</v>
      </c>
      <c r="E17" s="12" t="n">
        <v>702</v>
      </c>
      <c r="F17" s="12" t="n">
        <v>738</v>
      </c>
      <c r="G17" s="12" t="n">
        <v>782</v>
      </c>
    </row>
    <row r="18" customFormat="false" ht="15" hidden="false" customHeight="false" outlineLevel="0" collapsed="false">
      <c r="B18" s="62" t="n">
        <v>0.25</v>
      </c>
      <c r="C18" s="12" t="n">
        <v>880</v>
      </c>
      <c r="D18" s="12" t="n">
        <v>1057</v>
      </c>
      <c r="E18" s="12" t="n">
        <v>1199</v>
      </c>
      <c r="F18" s="12" t="n">
        <v>1235</v>
      </c>
      <c r="G18" s="12" t="n">
        <v>1279</v>
      </c>
    </row>
    <row r="19" customFormat="false" ht="15" hidden="false" customHeight="false" outlineLevel="0" collapsed="false">
      <c r="B19" s="62" t="n">
        <v>0.275</v>
      </c>
      <c r="C19" s="12" t="n">
        <v>1045</v>
      </c>
      <c r="D19" s="12" t="n">
        <v>1223</v>
      </c>
      <c r="E19" s="63" t="n">
        <v>1365</v>
      </c>
      <c r="F19" s="12" t="n">
        <v>1400</v>
      </c>
      <c r="G19" s="12" t="n">
        <v>1445</v>
      </c>
    </row>
    <row r="20" customFormat="false" ht="15" hidden="false" customHeight="false" outlineLevel="0" collapsed="false">
      <c r="B20" s="62" t="n">
        <v>0.325</v>
      </c>
      <c r="C20" s="12" t="n">
        <v>1376</v>
      </c>
      <c r="D20" s="12" t="n">
        <v>1554</v>
      </c>
      <c r="E20" s="12" t="n">
        <v>1696</v>
      </c>
      <c r="F20" s="12" t="n">
        <v>1731</v>
      </c>
      <c r="G20" s="12" t="n">
        <v>1776</v>
      </c>
    </row>
    <row r="21" customFormat="false" ht="15" hidden="false" customHeight="false" outlineLevel="0" collapsed="false">
      <c r="B21" s="62" t="n">
        <v>0.4</v>
      </c>
      <c r="C21" s="12" t="n">
        <v>1873</v>
      </c>
      <c r="D21" s="12" t="n">
        <v>2051</v>
      </c>
      <c r="E21" s="12" t="n">
        <v>2193</v>
      </c>
      <c r="F21" s="12" t="n">
        <v>2228</v>
      </c>
      <c r="G21" s="12" t="n">
        <v>2273</v>
      </c>
    </row>
    <row r="23" customFormat="false" ht="15" hidden="false" customHeight="false" outlineLevel="0" collapsed="false">
      <c r="B23" s="5" t="s">
        <v>288</v>
      </c>
    </row>
    <row r="24" customFormat="false" ht="15" hidden="false" customHeight="false" outlineLevel="0" collapsed="false">
      <c r="B24" s="2" t="s">
        <v>289</v>
      </c>
      <c r="C24" s="61" t="n">
        <v>0.0779</v>
      </c>
      <c r="D24" s="61" t="n">
        <v>0.0916</v>
      </c>
      <c r="E24" s="61" t="n">
        <v>0.0974</v>
      </c>
      <c r="F24" s="61" t="n">
        <v>0.0988</v>
      </c>
      <c r="G24" s="61" t="n">
        <v>0.11</v>
      </c>
    </row>
    <row r="25" customFormat="false" ht="15" hidden="false" customHeight="false" outlineLevel="0" collapsed="false">
      <c r="B25" s="62" t="n">
        <v>0</v>
      </c>
      <c r="C25" s="12" t="n">
        <v>1675</v>
      </c>
      <c r="D25" s="12" t="n">
        <v>1514</v>
      </c>
      <c r="E25" s="12" t="n">
        <v>1450</v>
      </c>
      <c r="F25" s="12" t="n">
        <v>1435</v>
      </c>
      <c r="G25" s="12" t="n">
        <v>1320</v>
      </c>
    </row>
    <row r="26" customFormat="false" ht="15" hidden="false" customHeight="false" outlineLevel="0" collapsed="false">
      <c r="B26" s="62" t="n">
        <v>0.05</v>
      </c>
      <c r="C26" s="12" t="n">
        <v>1627</v>
      </c>
      <c r="D26" s="12" t="n">
        <v>1470</v>
      </c>
      <c r="E26" s="12" t="n">
        <v>1407</v>
      </c>
      <c r="F26" s="12" t="n">
        <v>1393</v>
      </c>
      <c r="G26" s="12" t="n">
        <v>1281</v>
      </c>
    </row>
    <row r="27" customFormat="false" ht="15" hidden="false" customHeight="false" outlineLevel="0" collapsed="false">
      <c r="B27" s="62" t="n">
        <v>0.1</v>
      </c>
      <c r="C27" s="12" t="n">
        <v>1579</v>
      </c>
      <c r="D27" s="12" t="n">
        <v>1425</v>
      </c>
      <c r="E27" s="63" t="n">
        <v>1365</v>
      </c>
      <c r="F27" s="12" t="n">
        <v>1351</v>
      </c>
      <c r="G27" s="12" t="n">
        <v>1242</v>
      </c>
    </row>
    <row r="28" customFormat="false" ht="15" hidden="false" customHeight="false" outlineLevel="0" collapsed="false">
      <c r="B28" s="62" t="n">
        <v>0.2</v>
      </c>
      <c r="C28" s="12" t="n">
        <v>1482</v>
      </c>
      <c r="D28" s="12" t="n">
        <v>1337</v>
      </c>
      <c r="E28" s="12" t="n">
        <v>1279</v>
      </c>
      <c r="F28" s="12" t="n">
        <v>1266</v>
      </c>
      <c r="G28" s="12" t="n">
        <v>1163</v>
      </c>
    </row>
    <row r="29" customFormat="false" ht="15" hidden="false" customHeight="false" outlineLevel="0" collapsed="false">
      <c r="B29" s="62" t="n">
        <v>0.3</v>
      </c>
      <c r="C29" s="12" t="n">
        <v>1386</v>
      </c>
      <c r="D29" s="12" t="n">
        <v>1248</v>
      </c>
      <c r="E29" s="12" t="n">
        <v>1194</v>
      </c>
      <c r="F29" s="12" t="n">
        <v>1181</v>
      </c>
      <c r="G29" s="12" t="n">
        <v>1084</v>
      </c>
    </row>
    <row r="31" customFormat="false" ht="15" hidden="false" customHeight="false" outlineLevel="0" collapsed="false">
      <c r="B31" s="5" t="s">
        <v>290</v>
      </c>
    </row>
    <row r="32" customFormat="false" ht="15" hidden="false" customHeight="false" outlineLevel="0" collapsed="false">
      <c r="B32" s="2" t="s">
        <v>291</v>
      </c>
      <c r="C32" s="65" t="n">
        <v>3</v>
      </c>
      <c r="D32" s="65" t="n">
        <v>5</v>
      </c>
      <c r="E32" s="65" t="n">
        <v>7</v>
      </c>
      <c r="F32" s="65" t="n">
        <v>10</v>
      </c>
    </row>
    <row r="33" customFormat="false" ht="15" hidden="false" customHeight="false" outlineLevel="0" collapsed="false">
      <c r="B33" s="62" t="n">
        <v>0.0913</v>
      </c>
      <c r="C33" s="12" t="n">
        <v>996</v>
      </c>
      <c r="D33" s="12" t="n">
        <v>968</v>
      </c>
      <c r="E33" s="12" t="n">
        <v>926</v>
      </c>
      <c r="F33" s="12" t="n">
        <v>843</v>
      </c>
    </row>
    <row r="34" customFormat="false" ht="15" hidden="false" customHeight="false" outlineLevel="0" collapsed="false">
      <c r="B34" s="62" t="n">
        <v>0.12</v>
      </c>
      <c r="C34" s="12" t="n">
        <v>1238</v>
      </c>
      <c r="D34" s="12" t="n">
        <v>1211</v>
      </c>
      <c r="E34" s="12" t="n">
        <v>1168</v>
      </c>
      <c r="F34" s="12" t="n">
        <v>1086</v>
      </c>
    </row>
    <row r="35" customFormat="false" ht="15" hidden="false" customHeight="false" outlineLevel="0" collapsed="false">
      <c r="B35" s="62" t="n">
        <v>0.15</v>
      </c>
      <c r="C35" s="12" t="n">
        <v>1393</v>
      </c>
      <c r="D35" s="63" t="n">
        <v>1365</v>
      </c>
      <c r="E35" s="12" t="n">
        <v>1323</v>
      </c>
      <c r="F35" s="12" t="n">
        <v>1240</v>
      </c>
    </row>
    <row r="36" customFormat="false" ht="15" hidden="false" customHeight="false" outlineLevel="0" collapsed="false">
      <c r="B36" s="62" t="n">
        <v>0.2</v>
      </c>
      <c r="C36" s="12" t="n">
        <v>1547</v>
      </c>
      <c r="D36" s="12" t="n">
        <v>1519</v>
      </c>
      <c r="E36" s="12" t="n">
        <v>1477</v>
      </c>
      <c r="F36" s="12" t="n">
        <v>1394</v>
      </c>
    </row>
    <row r="38" customFormat="false" ht="15" hidden="false" customHeight="false" outlineLevel="0" collapsed="false">
      <c r="B38" s="5" t="s">
        <v>292</v>
      </c>
    </row>
    <row r="39" customFormat="false" ht="15" hidden="false" customHeight="false" outlineLevel="0" collapsed="false">
      <c r="B39" s="66" t="s">
        <v>57</v>
      </c>
      <c r="C39" s="67" t="s">
        <v>293</v>
      </c>
      <c r="D39" s="67" t="s">
        <v>294</v>
      </c>
      <c r="E39" s="67" t="s">
        <v>295</v>
      </c>
      <c r="F39" s="67" t="s">
        <v>294</v>
      </c>
      <c r="G39" s="67" t="s">
        <v>296</v>
      </c>
    </row>
    <row r="40" customFormat="false" ht="15" hidden="false" customHeight="false" outlineLevel="0" collapsed="false">
      <c r="B40" s="0" t="s">
        <v>297</v>
      </c>
      <c r="C40" s="0" t="s">
        <v>298</v>
      </c>
      <c r="D40" s="12" t="n">
        <v>702</v>
      </c>
      <c r="E40" s="59" t="s">
        <v>299</v>
      </c>
      <c r="F40" s="12" t="n">
        <v>1696</v>
      </c>
      <c r="G40" s="12" t="n">
        <f aca="false">F40-D40</f>
        <v>994</v>
      </c>
    </row>
    <row r="41" customFormat="false" ht="15" hidden="false" customHeight="false" outlineLevel="0" collapsed="false">
      <c r="B41" s="0" t="s">
        <v>300</v>
      </c>
      <c r="C41" s="0" t="s">
        <v>301</v>
      </c>
      <c r="D41" s="12" t="n">
        <v>1049</v>
      </c>
      <c r="E41" s="59" t="s">
        <v>302</v>
      </c>
      <c r="F41" s="12" t="n">
        <v>1647</v>
      </c>
      <c r="G41" s="12" t="n">
        <f aca="false">F41-D41</f>
        <v>598</v>
      </c>
    </row>
    <row r="42" customFormat="false" ht="15" hidden="false" customHeight="false" outlineLevel="0" collapsed="false">
      <c r="B42" s="0" t="s">
        <v>303</v>
      </c>
      <c r="C42" s="0" t="s">
        <v>304</v>
      </c>
      <c r="D42" s="12" t="n">
        <v>968</v>
      </c>
      <c r="E42" s="59" t="s">
        <v>305</v>
      </c>
      <c r="F42" s="12" t="n">
        <v>1519</v>
      </c>
      <c r="G42" s="12" t="n">
        <f aca="false">F42-D42</f>
        <v>551</v>
      </c>
    </row>
    <row r="43" customFormat="false" ht="15" hidden="false" customHeight="false" outlineLevel="0" collapsed="false">
      <c r="B43" s="0" t="s">
        <v>306</v>
      </c>
      <c r="C43" s="0" t="s">
        <v>307</v>
      </c>
      <c r="D43" s="12" t="n">
        <v>1223</v>
      </c>
      <c r="E43" s="59" t="s">
        <v>308</v>
      </c>
      <c r="F43" s="12" t="n">
        <v>1445</v>
      </c>
      <c r="G43" s="12" t="n">
        <f aca="false">F43-D43</f>
        <v>222</v>
      </c>
    </row>
    <row r="44" customFormat="false" ht="15" hidden="false" customHeight="false" outlineLevel="0" collapsed="false">
      <c r="B44" s="0" t="s">
        <v>211</v>
      </c>
      <c r="C44" s="0" t="s">
        <v>309</v>
      </c>
      <c r="D44" s="12" t="n">
        <v>1266</v>
      </c>
      <c r="E44" s="59" t="s">
        <v>310</v>
      </c>
      <c r="F44" s="12" t="n">
        <v>1471</v>
      </c>
      <c r="G44" s="12" t="n">
        <f aca="false">F44-D44</f>
        <v>205</v>
      </c>
    </row>
    <row r="45" customFormat="false" ht="15" hidden="false" customHeight="false" outlineLevel="0" collapsed="false">
      <c r="B45" s="0" t="s">
        <v>311</v>
      </c>
      <c r="C45" s="0" t="s">
        <v>312</v>
      </c>
      <c r="D45" s="12" t="n">
        <v>1265</v>
      </c>
      <c r="E45" s="59" t="s">
        <v>313</v>
      </c>
      <c r="F45" s="12" t="n">
        <v>1465</v>
      </c>
      <c r="G45" s="12" t="n">
        <f aca="false">F45-D45</f>
        <v>200</v>
      </c>
    </row>
    <row r="46" customFormat="false" ht="15" hidden="false" customHeight="false" outlineLevel="0" collapsed="false">
      <c r="B46" s="0" t="s">
        <v>314</v>
      </c>
      <c r="C46" s="0" t="s">
        <v>305</v>
      </c>
      <c r="D46" s="12" t="n">
        <v>1279</v>
      </c>
      <c r="E46" s="59" t="s">
        <v>315</v>
      </c>
      <c r="F46" s="12" t="n">
        <v>1450</v>
      </c>
      <c r="G46" s="12" t="n">
        <f aca="false">F46-D46</f>
        <v>171</v>
      </c>
    </row>
    <row r="47" customFormat="false" ht="15" hidden="false" customHeight="false" outlineLevel="0" collapsed="false">
      <c r="B47" s="2" t="s">
        <v>316</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2"/>
    <col collapsed="false" customWidth="true" hidden="false" outlineLevel="0" max="3" min="3" style="0" width="20"/>
    <col collapsed="false" customWidth="true" hidden="false" outlineLevel="0" max="5" min="4" style="0" width="18"/>
    <col collapsed="false" customWidth="true" hidden="false" outlineLevel="0" max="7" min="6" style="0" width="14"/>
  </cols>
  <sheetData>
    <row r="2" customFormat="false" ht="17.35" hidden="false" customHeight="false" outlineLevel="0" collapsed="false">
      <c r="B2" s="1" t="s">
        <v>317</v>
      </c>
      <c r="C2" s="1"/>
      <c r="D2" s="1"/>
      <c r="E2" s="1"/>
      <c r="F2" s="1"/>
      <c r="G2" s="1"/>
      <c r="H2" s="1"/>
      <c r="I2" s="1"/>
    </row>
    <row r="5" customFormat="false" ht="15" hidden="false" customHeight="false" outlineLevel="0" collapsed="false">
      <c r="B5" s="7" t="s">
        <v>318</v>
      </c>
      <c r="C5" s="8" t="s">
        <v>319</v>
      </c>
      <c r="D5" s="8" t="s">
        <v>320</v>
      </c>
      <c r="E5" s="8" t="s">
        <v>321</v>
      </c>
      <c r="F5" s="8" t="s">
        <v>322</v>
      </c>
      <c r="G5" s="8" t="s">
        <v>323</v>
      </c>
    </row>
    <row r="6" customFormat="false" ht="15" hidden="false" customHeight="false" outlineLevel="0" collapsed="false">
      <c r="B6" s="0" t="s">
        <v>160</v>
      </c>
      <c r="C6" s="68" t="n">
        <f aca="false">DCF!D9/1000</f>
        <v>98.54</v>
      </c>
      <c r="D6" s="68" t="n">
        <f aca="false">DCF!D45/1000</f>
        <v>103.04</v>
      </c>
      <c r="E6" s="68" t="n">
        <f aca="false">DCF!D81/1000</f>
        <v>98.54</v>
      </c>
      <c r="F6" s="47" t="n">
        <f aca="false">DCF!D10</f>
        <v>0.05</v>
      </c>
      <c r="G6" s="47" t="n">
        <f aca="false">DCF!D82</f>
        <v>0.05</v>
      </c>
    </row>
    <row r="7" customFormat="false" ht="15" hidden="false" customHeight="false" outlineLevel="0" collapsed="false">
      <c r="B7" s="0" t="s">
        <v>161</v>
      </c>
      <c r="C7" s="68" t="n">
        <f aca="false">DCF!E9/1000</f>
        <v>139.9268</v>
      </c>
      <c r="D7" s="68" t="n">
        <f aca="false">DCF!E45/1000</f>
        <v>146.3168</v>
      </c>
      <c r="E7" s="68" t="n">
        <f aca="false">DCF!E81/1000</f>
        <v>139.9268</v>
      </c>
      <c r="F7" s="47" t="n">
        <f aca="false">DCF!E10</f>
        <v>0.14</v>
      </c>
      <c r="G7" s="47" t="n">
        <f aca="false">DCF!E82</f>
        <v>0.14</v>
      </c>
    </row>
    <row r="8" customFormat="false" ht="15" hidden="false" customHeight="false" outlineLevel="0" collapsed="false">
      <c r="B8" s="0" t="s">
        <v>162</v>
      </c>
      <c r="C8" s="68" t="n">
        <f aca="false">DCF!F9/1000</f>
        <v>198.696056</v>
      </c>
      <c r="D8" s="68" t="n">
        <f aca="false">DCF!F45/1000</f>
        <v>207.769856</v>
      </c>
      <c r="E8" s="68" t="n">
        <f aca="false">DCF!F81/1000</f>
        <v>198.696056</v>
      </c>
      <c r="F8" s="47" t="n">
        <f aca="false">DCF!F10</f>
        <v>0.185</v>
      </c>
      <c r="G8" s="47" t="n">
        <f aca="false">DCF!F82</f>
        <v>0.185</v>
      </c>
    </row>
    <row r="9" customFormat="false" ht="15" hidden="false" customHeight="false" outlineLevel="0" collapsed="false">
      <c r="B9" s="0" t="s">
        <v>163</v>
      </c>
      <c r="C9" s="68" t="n">
        <f aca="false">DCF!G9/1000</f>
        <v>282.14839952</v>
      </c>
      <c r="D9" s="68" t="n">
        <f aca="false">DCF!G45/1000</f>
        <v>295.03319552</v>
      </c>
      <c r="E9" s="68" t="n">
        <f aca="false">DCF!G81/1000</f>
        <v>282.14839952</v>
      </c>
      <c r="F9" s="47" t="n">
        <f aca="false">DCF!G10</f>
        <v>0.23</v>
      </c>
      <c r="G9" s="47" t="n">
        <f aca="false">DCF!G82</f>
        <v>0.23</v>
      </c>
    </row>
    <row r="10" customFormat="false" ht="15" hidden="false" customHeight="false" outlineLevel="0" collapsed="false">
      <c r="B10" s="0" t="s">
        <v>164</v>
      </c>
      <c r="C10" s="68" t="n">
        <f aca="false">DCF!H9/1000</f>
        <v>400.6507273184</v>
      </c>
      <c r="D10" s="68" t="n">
        <f aca="false">DCF!H45/1000</f>
        <v>418.9471376384</v>
      </c>
      <c r="E10" s="68" t="n">
        <f aca="false">DCF!H81/1000</f>
        <v>400.6507273184</v>
      </c>
      <c r="F10" s="47" t="n">
        <f aca="false">DCF!H10</f>
        <v>0.275</v>
      </c>
      <c r="G10" s="47" t="n">
        <f aca="false">DCF!H82</f>
        <v>0.275</v>
      </c>
    </row>
    <row r="11" customFormat="false" ht="15" hidden="false" customHeight="false" outlineLevel="0" collapsed="false">
      <c r="B11" s="0" t="s">
        <v>165</v>
      </c>
      <c r="C11" s="68" t="n">
        <f aca="false">DCF!I9/1000</f>
        <v>539.195748825103</v>
      </c>
      <c r="D11" s="68" t="n">
        <f aca="false">DCF!I45/1000</f>
        <v>563.819057833759</v>
      </c>
      <c r="E11" s="68" t="n">
        <f aca="false">DCF!I81/1000</f>
        <v>539.195748825103</v>
      </c>
      <c r="F11" s="47" t="n">
        <f aca="false">DCF!I10</f>
        <v>0.275</v>
      </c>
      <c r="G11" s="47" t="n">
        <f aca="false">DCF!I82</f>
        <v>0.275</v>
      </c>
    </row>
    <row r="12" customFormat="false" ht="15" hidden="false" customHeight="false" outlineLevel="0" collapsed="false">
      <c r="B12" s="0" t="s">
        <v>166</v>
      </c>
      <c r="C12" s="68" t="n">
        <f aca="false">DCF!J9/1000</f>
        <v>685.641314206001</v>
      </c>
      <c r="D12" s="68" t="n">
        <f aca="false">DCF!J45/1000</f>
        <v>716.952313941407</v>
      </c>
      <c r="E12" s="68" t="n">
        <f aca="false">DCF!J81/1000</f>
        <v>685.641314206001</v>
      </c>
      <c r="F12" s="47" t="n">
        <f aca="false">DCF!J10</f>
        <v>0.275</v>
      </c>
      <c r="G12" s="47" t="n">
        <f aca="false">DCF!J82</f>
        <v>0.275</v>
      </c>
    </row>
    <row r="13" customFormat="false" ht="15" hidden="false" customHeight="false" outlineLevel="0" collapsed="false">
      <c r="B13" s="0" t="s">
        <v>167</v>
      </c>
      <c r="C13" s="68" t="n">
        <f aca="false">DCF!K9/1000</f>
        <v>820.986909630265</v>
      </c>
      <c r="D13" s="68" t="n">
        <f aca="false">DCF!K45/1000</f>
        <v>858.478700713441</v>
      </c>
      <c r="E13" s="68" t="n">
        <f aca="false">DCF!K81/1000</f>
        <v>820.986909630265</v>
      </c>
      <c r="F13" s="47" t="n">
        <f aca="false">DCF!K10</f>
        <v>0.275</v>
      </c>
      <c r="G13" s="47" t="n">
        <f aca="false">DCF!K82</f>
        <v>0.275</v>
      </c>
    </row>
    <row r="14" customFormat="false" ht="15" hidden="false" customHeight="false" outlineLevel="0" collapsed="false">
      <c r="B14" s="0" t="s">
        <v>168</v>
      </c>
      <c r="C14" s="68" t="n">
        <f aca="false">DCF!L9/1000</f>
        <v>922.132496896714</v>
      </c>
      <c r="D14" s="68" t="n">
        <f aca="false">DCF!L45/1000</f>
        <v>964.243276641337</v>
      </c>
      <c r="E14" s="68" t="n">
        <f aca="false">DCF!L81/1000</f>
        <v>922.132496896714</v>
      </c>
      <c r="F14" s="47" t="n">
        <f aca="false">DCF!L10</f>
        <v>0.275</v>
      </c>
      <c r="G14" s="47" t="n">
        <f aca="false">DCF!L82</f>
        <v>0.275</v>
      </c>
    </row>
    <row r="15" customFormat="false" ht="15" hidden="false" customHeight="false" outlineLevel="0" collapsed="false">
      <c r="B15" s="0" t="s">
        <v>169</v>
      </c>
      <c r="C15" s="68" t="n">
        <f aca="false">DCF!M9/1000</f>
        <v>967.316989244653</v>
      </c>
      <c r="D15" s="68" t="n">
        <f aca="false">DCF!M45/1000</f>
        <v>1011.49119719676</v>
      </c>
      <c r="E15" s="68" t="n">
        <f aca="false">DCF!M81/1000</f>
        <v>967.316989244653</v>
      </c>
      <c r="F15" s="47" t="n">
        <f aca="false">DCF!M10</f>
        <v>0.275</v>
      </c>
      <c r="G15" s="47" t="n">
        <f aca="false">DCF!M82</f>
        <v>0.275</v>
      </c>
    </row>
    <row r="18" customFormat="false" ht="15" hidden="false" customHeight="false" outlineLevel="0" collapsed="false">
      <c r="B18" s="7" t="s">
        <v>23</v>
      </c>
      <c r="C18" s="8" t="s">
        <v>26</v>
      </c>
      <c r="D18" s="8" t="s">
        <v>27</v>
      </c>
      <c r="E18" s="8" t="s">
        <v>28</v>
      </c>
    </row>
    <row r="19" customFormat="false" ht="15" hidden="false" customHeight="false" outlineLevel="0" collapsed="false">
      <c r="B19" s="0" t="s">
        <v>324</v>
      </c>
      <c r="C19" s="11" t="n">
        <f aca="false">IFERROR('Valuation Summary'!E11,0)</f>
        <v>1364.74795491056</v>
      </c>
      <c r="D19" s="11" t="n">
        <f aca="false">IFERROR('Valuation Summary'!F11,0)</f>
        <v>1475.87835181291</v>
      </c>
      <c r="E19" s="11" t="n">
        <f aca="false">IFERROR('Valuation Summary'!G11,0)</f>
        <v>1364.74795491056</v>
      </c>
    </row>
    <row r="20" customFormat="false" ht="15" hidden="false" customHeight="false" outlineLevel="0" collapsed="false">
      <c r="B20" s="0" t="s">
        <v>325</v>
      </c>
      <c r="C20" s="11" t="n">
        <f aca="false">IFERROR('Valuation Summary'!E12,0)</f>
        <v>1604.18446521165</v>
      </c>
      <c r="D20" s="11" t="n">
        <f aca="false">IFERROR('Valuation Summary'!F12,0)</f>
        <v>1659.74966366283</v>
      </c>
      <c r="E20" s="11" t="n">
        <f aca="false">IFERROR('Valuation Summary'!G12,0)</f>
        <v>1604.18446521165</v>
      </c>
    </row>
    <row r="21" customFormat="false" ht="15" hidden="false" customHeight="false" outlineLevel="0" collapsed="false">
      <c r="B21" s="0" t="s">
        <v>326</v>
      </c>
      <c r="C21" s="11" t="n">
        <f aca="false">IFERROR('Valuation Summary'!E13,0)</f>
        <v>1171.73511660775</v>
      </c>
      <c r="D21" s="11" t="n">
        <f aca="false">IFERROR('Valuation Summary'!F13,0)</f>
        <v>1225.24443287257</v>
      </c>
      <c r="E21" s="11" t="n">
        <f aca="false">IFERROR('Valuation Summary'!G13,0)</f>
        <v>1171.73511660775</v>
      </c>
    </row>
    <row r="22" customFormat="false" ht="15" hidden="false" customHeight="false" outlineLevel="0" collapsed="false">
      <c r="B22" s="0" t="s">
        <v>327</v>
      </c>
      <c r="C22" s="11" t="n">
        <f aca="false">IFERROR('Valuation Summary'!H15,0)</f>
        <v>1378.67505651004</v>
      </c>
      <c r="D22" s="11" t="n">
        <f aca="false">IFERROR('Valuation Summary'!F11,0)</f>
        <v>1475.87835181291</v>
      </c>
      <c r="E22" s="11" t="n">
        <f aca="false">IFERROR('Valuation Summary'!I15,0)</f>
        <v>1378.67505651004</v>
      </c>
    </row>
    <row r="23" customFormat="false" ht="15" hidden="false" customHeight="false" outlineLevel="0" collapsed="false">
      <c r="C23" s="2" t="s">
        <v>328</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95"/>
    <col collapsed="false" customWidth="true" hidden="false" outlineLevel="0" max="3" min="3" style="0" width="80"/>
  </cols>
  <sheetData>
    <row r="2" customFormat="false" ht="17.35" hidden="false" customHeight="false" outlineLevel="0" collapsed="false">
      <c r="B2" s="1" t="s">
        <v>329</v>
      </c>
      <c r="C2" s="1"/>
      <c r="D2" s="1"/>
      <c r="E2" s="1"/>
      <c r="F2" s="1"/>
      <c r="G2" s="1"/>
    </row>
    <row r="5" customFormat="false" ht="15" hidden="false" customHeight="false" outlineLevel="0" collapsed="false">
      <c r="B5" s="0" t="s">
        <v>330</v>
      </c>
      <c r="C5" s="69" t="s">
        <v>331</v>
      </c>
    </row>
    <row r="6" customFormat="false" ht="15" hidden="false" customHeight="false" outlineLevel="0" collapsed="false">
      <c r="B6" s="0" t="s">
        <v>332</v>
      </c>
      <c r="C6" s="69" t="s">
        <v>333</v>
      </c>
    </row>
    <row r="7" customFormat="false" ht="15" hidden="false" customHeight="false" outlineLevel="0" collapsed="false">
      <c r="B7" s="0" t="s">
        <v>334</v>
      </c>
    </row>
    <row r="8" customFormat="false" ht="15" hidden="false" customHeight="false" outlineLevel="0" collapsed="false">
      <c r="B8" s="0" t="s">
        <v>335</v>
      </c>
      <c r="C8" s="69" t="s">
        <v>336</v>
      </c>
    </row>
    <row r="9" customFormat="false" ht="15" hidden="false" customHeight="false" outlineLevel="0" collapsed="false">
      <c r="B9" s="0" t="s">
        <v>337</v>
      </c>
      <c r="C9" s="69" t="s">
        <v>338</v>
      </c>
    </row>
    <row r="10" customFormat="false" ht="15" hidden="false" customHeight="false" outlineLevel="0" collapsed="false">
      <c r="B10" s="0" t="s">
        <v>339</v>
      </c>
      <c r="C10" s="69" t="s">
        <v>340</v>
      </c>
    </row>
    <row r="11" customFormat="false" ht="15" hidden="false" customHeight="false" outlineLevel="0" collapsed="false">
      <c r="B11" s="0" t="s">
        <v>341</v>
      </c>
      <c r="C11" s="69" t="s">
        <v>342</v>
      </c>
    </row>
    <row r="12" customFormat="false" ht="15" hidden="false" customHeight="false" outlineLevel="0" collapsed="false">
      <c r="B12" s="0" t="s">
        <v>343</v>
      </c>
      <c r="C12" s="69" t="s">
        <v>344</v>
      </c>
    </row>
    <row r="13" customFormat="false" ht="15" hidden="false" customHeight="false" outlineLevel="0" collapsed="false">
      <c r="B13" s="0" t="s">
        <v>345</v>
      </c>
      <c r="C13" s="69" t="s">
        <v>346</v>
      </c>
    </row>
  </sheetData>
  <mergeCells count="1">
    <mergeCell ref="B2:G2"/>
  </mergeCells>
  <hyperlinks>
    <hyperlink ref="C5" r:id="rId1" display="https://www.sec.gov/Archives/edgar/data/2130357/000162828026067168/anthropicpbc-sx1.htm"/>
    <hyperlink ref="C6" r:id="rId2" display="https://aswathdamodaran.blogspot.com/2026/10/the-anthropic-prospectus-arrives-ipo.html"/>
    <hyperlink ref="C8" r:id="rId3" display="https://aswathdamodaran.blogspot.com/2026/10/stock-prices-earnings-and-cashflows-ai.html"/>
    <hyperlink ref="C9" r:id="rId4" display="https://www.sec.gov/Archives/edgar/data/0000789019/000119312526323632/msft-ex99_1.htm"/>
    <hyperlink ref="C10" r:id="rId5" display="https://www.sec.gov/Archives/edgar/data/0001326801/000162828026066773/meta-20260930.htm"/>
    <hyperlink ref="C11" r:id="rId6" display="https://www.storagenewsletter.com/2026/03/04/nvidia-fiscal-4q26-and-fy26-financial-results/"/>
    <hyperlink ref="C12" r:id="rId7" display="https://www.sec.gov/Archives/edgar/data/0001321655/000132165526000039/a2026q2ex991pressrelease.htm"/>
    <hyperlink ref="C13" r:id="rId8" display="https://ycharts.com/companies/GOOGL/revenu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2026-10-29T06:54:36Z</dcterms:created>
  <dc:creator>openpyxl</dc:creator>
  <dc:description/>
  <dc:language>en-US</dc:language>
  <cp:lastModifiedBy/>
  <dcterms:modified xsi:type="dcterms:W3CDTF">2026-10-29T06:54:38Z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